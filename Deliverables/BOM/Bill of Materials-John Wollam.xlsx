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JohnWollam-LCDProject\Deliverables\BOM\"/>
    </mc:Choice>
  </mc:AlternateContent>
  <xr:revisionPtr revIDLastSave="0" documentId="13_ncr:1_{0568FC7B-22D4-4BEF-9FF9-BDCEB090D3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4" i="1" l="1"/>
  <c r="P11" i="1"/>
  <c r="P12" i="1"/>
  <c r="P13" i="1"/>
  <c r="P14" i="1"/>
  <c r="P15" i="1"/>
  <c r="P16" i="1"/>
  <c r="P17" i="1"/>
  <c r="P18" i="1"/>
  <c r="P19" i="1"/>
  <c r="P20" i="1"/>
  <c r="P21" i="1"/>
  <c r="P23" i="1"/>
  <c r="P24" i="1"/>
  <c r="P25" i="1"/>
  <c r="P26" i="1"/>
  <c r="P27" i="1"/>
  <c r="P28" i="1"/>
  <c r="P29" i="1"/>
  <c r="P30" i="1"/>
  <c r="P31" i="1"/>
  <c r="P32" i="1"/>
  <c r="P33" i="1"/>
  <c r="P35" i="1"/>
  <c r="P36" i="1"/>
  <c r="P37" i="1"/>
  <c r="P38" i="1"/>
  <c r="P39" i="1"/>
  <c r="P40" i="1"/>
  <c r="P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5" i="1"/>
  <c r="L36" i="1"/>
  <c r="L37" i="1"/>
  <c r="L38" i="1"/>
  <c r="L39" i="1"/>
  <c r="L40" i="1"/>
  <c r="L10" i="1"/>
  <c r="P41" i="1" l="1"/>
  <c r="P42" i="1" s="1"/>
  <c r="P44" i="1" s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<sst xmlns="http://schemas.openxmlformats.org/spreadsheetml/2006/main" count="315" uniqueCount="211">
  <si>
    <t>Component list</t>
  </si>
  <si>
    <t>Source Data From:</t>
  </si>
  <si>
    <t>Project:</t>
  </si>
  <si>
    <t>Variant:</t>
  </si>
  <si>
    <t>#</t>
  </si>
  <si>
    <t>Approved</t>
  </si>
  <si>
    <t>Notes</t>
  </si>
  <si>
    <t>Bill of Materials for Project [John Wollam.PrjPCB] (No PCB Document Selected)</t>
  </si>
  <si>
    <t>John Wollam.PrjPCB</t>
  </si>
  <si>
    <t>None</t>
  </si>
  <si>
    <t>Designator</t>
  </si>
  <si>
    <t>C1, C2, C3, C6, C9, C10</t>
  </si>
  <si>
    <t>C4, C5</t>
  </si>
  <si>
    <t>C7, C13</t>
  </si>
  <si>
    <t>C8</t>
  </si>
  <si>
    <t>C11, C14</t>
  </si>
  <si>
    <t>C12</t>
  </si>
  <si>
    <t>C36</t>
  </si>
  <si>
    <t>C37</t>
  </si>
  <si>
    <t>D1</t>
  </si>
  <si>
    <t>J1</t>
  </si>
  <si>
    <t>J4</t>
  </si>
  <si>
    <t>J5</t>
  </si>
  <si>
    <t>J6</t>
  </si>
  <si>
    <t>L1</t>
  </si>
  <si>
    <t>P1</t>
  </si>
  <si>
    <t>Q2, Q3, Q4, Q5, Q6, Q7</t>
  </si>
  <si>
    <t>R1, R2</t>
  </si>
  <si>
    <t>R4</t>
  </si>
  <si>
    <t>R6, R7, R8, R9, R10, R11, R12, R13, R14, R15, R17</t>
  </si>
  <si>
    <t>R18, R20, R21, R22, R23, R24, R25, R26, R27, R28, R29, R30, R31</t>
  </si>
  <si>
    <t>R19</t>
  </si>
  <si>
    <t>R35</t>
  </si>
  <si>
    <t>R36</t>
  </si>
  <si>
    <t>R40</t>
  </si>
  <si>
    <t>SB1</t>
  </si>
  <si>
    <t>SW1</t>
  </si>
  <si>
    <t>U1</t>
  </si>
  <si>
    <t>U2</t>
  </si>
  <si>
    <t>U3</t>
  </si>
  <si>
    <t>USB1</t>
  </si>
  <si>
    <t>X1</t>
  </si>
  <si>
    <t>Description</t>
  </si>
  <si>
    <t>CAP CER 0.1UF 50V Y5V 0603</t>
  </si>
  <si>
    <t>CAP CER 20PF 50V C0G/NPO 0603</t>
  </si>
  <si>
    <t>CAP CER 1UF 50V X7R 0603</t>
  </si>
  <si>
    <t>CAP CER 10000PF 50V X7R 0603</t>
  </si>
  <si>
    <t>CAP CER 4.7UF 25V X5R 0603</t>
  </si>
  <si>
    <t>CAP CER 470pF 10% X7R 50V 0603 SMD</t>
  </si>
  <si>
    <t>CAP TANT 100UF 20% 25V 2917</t>
  </si>
  <si>
    <t>40V 500mV@2A 2A SMA(DO-214AC) Schottky Barrier Diodes (SBD) ROHS</t>
  </si>
  <si>
    <t>TERM BLK 12P SIDE ENT 5.08MM PCB</t>
  </si>
  <si>
    <t>CONN HDR 16POS 0.1 GOLD PCB</t>
  </si>
  <si>
    <t>10 Pin JTAG Header for ICE programmer (1.27mm Pitch)</t>
  </si>
  <si>
    <t>CABLE ADAPTER 6 POS</t>
  </si>
  <si>
    <t>Fixed Ind 22020%UH 0.834 Ohm 770M</t>
  </si>
  <si>
    <t>CONN HEADER VERT 3POS 2.54MM</t>
  </si>
  <si>
    <t>MOSFET N-CH 50V 200MA SOT-23</t>
  </si>
  <si>
    <t>RES SMD 50K OHM 0.1% 0.15W 0603</t>
  </si>
  <si>
    <t>RES SMD 3.6 OHM 1% 1/4W 1206</t>
  </si>
  <si>
    <t>RES SMD 20K OHM 1% 1/10W 0603</t>
  </si>
  <si>
    <t>RES SMD 10K OHM 1% 1/10W 0603</t>
  </si>
  <si>
    <t>RES SMD 56K OHM 1% 1/10W 0603</t>
  </si>
  <si>
    <t>±1% 1/10W Thick Film Resistors 75V ±600ppm/℃ -55℃~+155℃ 0.33Ω 0603 Chip Resistor - Surface Mount ROHS</t>
  </si>
  <si>
    <t>Res Thick Film 0402 3.6K Ohm 5% 1/16W ±100ppm/°C Molded SMD SMD Paper T/R</t>
  </si>
  <si>
    <t>±1% 1/10W Thick Film Resistors 75V ±100ppm/℃ -55℃~+155℃ 1.2kΩ 0603 Chip Resistor - Surface Mount ROHS</t>
  </si>
  <si>
    <t>Solder Bridge ON</t>
  </si>
  <si>
    <t>Switch Tactile N.O. SPST Round Button Gull Wing 0.05A 12VDC 100000Cycles 1.57N SMD T/R</t>
  </si>
  <si>
    <t>IC MCU 32BIT 32KB FLASH 48LQFP</t>
  </si>
  <si>
    <t>1.5-A boost, buck, inverting switching regulator, operation from 0°C to 70°C 8-SOIC 0 to 70</t>
  </si>
  <si>
    <t>IC REG LINEAR 3.3V 1.2A SOT223</t>
  </si>
  <si>
    <t>CONN USB MICRO B RECPT SMT R/A</t>
  </si>
  <si>
    <t>CRYSTAL 8.0000MHZ 18PF SMD</t>
  </si>
  <si>
    <t>Footprint</t>
  </si>
  <si>
    <t>Cap0603</t>
  </si>
  <si>
    <t>CAP- 2917</t>
  </si>
  <si>
    <t>SMA</t>
  </si>
  <si>
    <t>PPPC161LFBN-RC</t>
  </si>
  <si>
    <t>TC2030-IDC</t>
  </si>
  <si>
    <t>SWPA6045S221MT</t>
  </si>
  <si>
    <t>HDR1X3</t>
  </si>
  <si>
    <t>SOT23-3</t>
  </si>
  <si>
    <t>Res0603</t>
  </si>
  <si>
    <t>Res1206</t>
  </si>
  <si>
    <t>Res0402</t>
  </si>
  <si>
    <t>SOIC-8</t>
  </si>
  <si>
    <t>LDL1117S33R</t>
  </si>
  <si>
    <t>10118192-0001LF</t>
  </si>
  <si>
    <t>7B08070001</t>
  </si>
  <si>
    <t>Manufacturer Part Number</t>
  </si>
  <si>
    <t>CC0603ZRY5V9BB104</t>
  </si>
  <si>
    <t>CC0603JRNPO9BN200</t>
  </si>
  <si>
    <t>UMK107AB7105KA-T</t>
  </si>
  <si>
    <t>CC0603KRX7R9BB103</t>
  </si>
  <si>
    <t>GRM188R61E475KE11D</t>
  </si>
  <si>
    <t>CC0603KRX7R9BB471</t>
  </si>
  <si>
    <t>TAJE107M025RNJ</t>
  </si>
  <si>
    <t>OSTTA124163</t>
  </si>
  <si>
    <t>BSS138LT1G</t>
  </si>
  <si>
    <t>PNM0603E5002BST5</t>
  </si>
  <si>
    <t>CRCW12063R60FKEA</t>
  </si>
  <si>
    <t>RC0603FR-0720KL</t>
  </si>
  <si>
    <t>RC0603FR-0710KL</t>
  </si>
  <si>
    <t>RC0603FR-0756KL</t>
  </si>
  <si>
    <t>RC0402JR-073K6L</t>
  </si>
  <si>
    <t>TL3301NF160QG</t>
  </si>
  <si>
    <t>STM32F070C6T6</t>
  </si>
  <si>
    <t>MC34063ADR</t>
  </si>
  <si>
    <t>Manufacturer</t>
  </si>
  <si>
    <t>Yageo</t>
  </si>
  <si>
    <t>Taiyo Yuden</t>
  </si>
  <si>
    <t>Murata</t>
  </si>
  <si>
    <t>Kyocera AVX</t>
  </si>
  <si>
    <t>Yangzhou</t>
  </si>
  <si>
    <t>On-Shore Technology</t>
  </si>
  <si>
    <t>Sullins</t>
  </si>
  <si>
    <t>Tag-Connect</t>
  </si>
  <si>
    <t>Sunlord</t>
  </si>
  <si>
    <t>Wurth Electronics</t>
  </si>
  <si>
    <t>ON Semiconductor</t>
  </si>
  <si>
    <t>Vishay Dale Thin Film</t>
  </si>
  <si>
    <t>Vishay Dale</t>
  </si>
  <si>
    <t>RALEC</t>
  </si>
  <si>
    <t>UNI-ROYAL</t>
  </si>
  <si>
    <t>E-Switch</t>
  </si>
  <si>
    <t>STMicroelectronics</t>
  </si>
  <si>
    <t>Texas Instruments</t>
  </si>
  <si>
    <t>Amphenol FCI</t>
  </si>
  <si>
    <t>TXC</t>
  </si>
  <si>
    <t>Comment</t>
  </si>
  <si>
    <t>0.1uF</t>
  </si>
  <si>
    <t>20pF</t>
  </si>
  <si>
    <t>1uF</t>
  </si>
  <si>
    <t>10000pF</t>
  </si>
  <si>
    <t>4.7uF</t>
  </si>
  <si>
    <t>470pF</t>
  </si>
  <si>
    <t>100uF</t>
  </si>
  <si>
    <t>470uF</t>
  </si>
  <si>
    <t>SS24A</t>
  </si>
  <si>
    <t>220uH</t>
  </si>
  <si>
    <t>50K</t>
  </si>
  <si>
    <t>3.6R</t>
  </si>
  <si>
    <t>20K</t>
  </si>
  <si>
    <t>10K</t>
  </si>
  <si>
    <t>56K</t>
  </si>
  <si>
    <t>0.33R</t>
  </si>
  <si>
    <t>3.6K</t>
  </si>
  <si>
    <t>1.2K</t>
  </si>
  <si>
    <t>8MHZ</t>
  </si>
  <si>
    <t>Quantity</t>
  </si>
  <si>
    <t>Custom</t>
  </si>
  <si>
    <t xml:space="preserve">Alternate Part No </t>
  </si>
  <si>
    <t>LCSC/Part No</t>
  </si>
  <si>
    <t>Quantity/10 Board</t>
  </si>
  <si>
    <t>LCSC/MOQ</t>
  </si>
  <si>
    <t xml:space="preserve">Link </t>
  </si>
  <si>
    <t>Unit Price/10</t>
  </si>
  <si>
    <t>Total Price/10</t>
  </si>
  <si>
    <t>---------</t>
  </si>
  <si>
    <t>C106221</t>
  </si>
  <si>
    <t>LCSC</t>
  </si>
  <si>
    <t>C105621</t>
  </si>
  <si>
    <t>C105174</t>
  </si>
  <si>
    <t>C100042</t>
  </si>
  <si>
    <t>C90057</t>
  </si>
  <si>
    <t>C107092</t>
  </si>
  <si>
    <t>C7230</t>
  </si>
  <si>
    <t>C2886579</t>
  </si>
  <si>
    <t>----------</t>
  </si>
  <si>
    <t>C91047</t>
  </si>
  <si>
    <t>C82045</t>
  </si>
  <si>
    <t>-----------</t>
  </si>
  <si>
    <t>C105575</t>
  </si>
  <si>
    <t>C98220</t>
  </si>
  <si>
    <t>C114630</t>
  </si>
  <si>
    <t>RTT03R330FTP</t>
  </si>
  <si>
    <t>C103893</t>
  </si>
  <si>
    <t>C137873</t>
  </si>
  <si>
    <t>0603WAF1201T5E</t>
  </si>
  <si>
    <t>C22765</t>
  </si>
  <si>
    <t>C273526</t>
  </si>
  <si>
    <t>C100023</t>
  </si>
  <si>
    <t>SOT-223-4</t>
  </si>
  <si>
    <t>C435835</t>
  </si>
  <si>
    <t>C132564</t>
  </si>
  <si>
    <t xml:space="preserve">B-2101S10P-B110
</t>
  </si>
  <si>
    <t>Ckmtw</t>
  </si>
  <si>
    <t>C2895038</t>
  </si>
  <si>
    <t>2685Y-116CNG1SNA01</t>
  </si>
  <si>
    <t>C350305</t>
  </si>
  <si>
    <t>MTP125-1103S1</t>
  </si>
  <si>
    <t>C358685</t>
  </si>
  <si>
    <t>AR03BTC5002A</t>
  </si>
  <si>
    <t>C304067</t>
  </si>
  <si>
    <t>1206W4F360KT5E</t>
  </si>
  <si>
    <t>C17998</t>
  </si>
  <si>
    <t>DB128V-5.0-12P-GN-S</t>
  </si>
  <si>
    <t>C424688</t>
  </si>
  <si>
    <t>LQFP-48</t>
  </si>
  <si>
    <t>ALiexpress</t>
  </si>
  <si>
    <t xml:space="preserve">Remarks </t>
  </si>
  <si>
    <t>Reviewer Remarks</t>
  </si>
  <si>
    <t xml:space="preserve">Total Component Cost </t>
  </si>
  <si>
    <t>Single Board Cost</t>
  </si>
  <si>
    <t>Aliexpress Shipping Cost</t>
  </si>
  <si>
    <t>Total Cost Single Board</t>
  </si>
  <si>
    <t xml:space="preserve"> 470uF 7.7mm 10V 6.3mm ±20% SMD,6.3x7.7mm Aluminum Electrolytic Capacitors - SMD ROHS</t>
  </si>
  <si>
    <t>RVT1A471M0607</t>
  </si>
  <si>
    <t>ROQANG</t>
  </si>
  <si>
    <t>C335982</t>
  </si>
  <si>
    <t>5TJ480000XYLBC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</si>
</sst>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:ss\ AM/PM;@"/>
    <numFmt numFmtId="165" formatCode="&quot;$&quot;#,##0.0000"/>
    <numFmt numFmtId="166" formatCode="&quot;$&quot;#,##0.00"/>
  </numFmts>
  <fonts count="21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2"/>
      <color indexed="13"/>
      <name val="Arial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102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7" fillId="3" borderId="13" xfId="0" applyFont="1" applyFill="1" applyBorder="1" applyAlignment="1">
      <alignment vertical="center"/>
    </xf>
    <xf numFmtId="0" fontId="8" fillId="3" borderId="5" xfId="0" applyFont="1" applyFill="1" applyBorder="1" applyAlignment="1"/>
    <xf numFmtId="0" fontId="9" fillId="3" borderId="0" xfId="0" applyFont="1" applyFill="1" applyBorder="1" applyAlignment="1"/>
    <xf numFmtId="0" fontId="10" fillId="3" borderId="3" xfId="0" applyNumberFormat="1" applyFont="1" applyFill="1" applyBorder="1" applyAlignment="1" applyProtection="1">
      <alignment horizontal="left" vertical="top"/>
      <protection locked="0"/>
    </xf>
    <xf numFmtId="0" fontId="11" fillId="3" borderId="3" xfId="0" applyNumberFormat="1" applyFont="1" applyFill="1" applyBorder="1" applyAlignment="1" applyProtection="1">
      <alignment horizontal="left" vertical="top"/>
      <protection locked="0"/>
    </xf>
    <xf numFmtId="0" fontId="13" fillId="3" borderId="12" xfId="0" applyFont="1" applyFill="1" applyBorder="1" applyAlignment="1">
      <alignment vertical="center"/>
    </xf>
    <xf numFmtId="0" fontId="14" fillId="3" borderId="13" xfId="0" applyFont="1" applyFill="1" applyBorder="1" applyAlignment="1">
      <alignment vertical="center"/>
    </xf>
    <xf numFmtId="0" fontId="10" fillId="3" borderId="0" xfId="0" applyFont="1" applyFill="1" applyBorder="1" applyAlignment="1"/>
    <xf numFmtId="0" fontId="12" fillId="3" borderId="6" xfId="0" applyFont="1" applyFill="1" applyBorder="1" applyAlignment="1"/>
    <xf numFmtId="0" fontId="12" fillId="3" borderId="5" xfId="0" applyFont="1" applyFill="1" applyBorder="1" applyAlignment="1"/>
    <xf numFmtId="0" fontId="10" fillId="3" borderId="5" xfId="0" applyFont="1" applyFill="1" applyBorder="1" applyAlignment="1"/>
    <xf numFmtId="0" fontId="12" fillId="3" borderId="5" xfId="0" applyFont="1" applyFill="1" applyBorder="1" applyAlignment="1">
      <alignment horizontal="left"/>
    </xf>
    <xf numFmtId="0" fontId="15" fillId="3" borderId="0" xfId="0" applyFont="1" applyFill="1" applyBorder="1" applyAlignment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12" fillId="3" borderId="16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14" fillId="3" borderId="13" xfId="0" quotePrefix="1" applyFont="1" applyFill="1" applyBorder="1" applyAlignment="1">
      <alignment vertical="center"/>
    </xf>
    <xf numFmtId="0" fontId="10" fillId="3" borderId="0" xfId="0" quotePrefix="1" applyFont="1" applyFill="1" applyBorder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1" fillId="2" borderId="7" xfId="0" quotePrefix="1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/>
    </xf>
    <xf numFmtId="0" fontId="12" fillId="3" borderId="0" xfId="0" applyFont="1" applyFill="1" applyBorder="1" applyAlignment="1"/>
    <xf numFmtId="164" fontId="12" fillId="3" borderId="0" xfId="0" applyNumberFormat="1" applyFont="1" applyFill="1" applyBorder="1" applyAlignment="1">
      <alignment horizontal="left"/>
    </xf>
    <xf numFmtId="0" fontId="14" fillId="5" borderId="18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vertical="center"/>
    </xf>
    <xf numFmtId="0" fontId="16" fillId="0" borderId="17" xfId="0" applyFont="1" applyBorder="1" applyAlignment="1">
      <alignment horizontal="center" vertical="center"/>
    </xf>
    <xf numFmtId="0" fontId="17" fillId="0" borderId="17" xfId="1" applyBorder="1" applyAlignment="1">
      <alignment horizontal="center" vertical="center"/>
    </xf>
    <xf numFmtId="0" fontId="16" fillId="4" borderId="15" xfId="0" applyFont="1" applyFill="1" applyBorder="1" applyAlignment="1">
      <alignment horizontal="center" vertical="center"/>
    </xf>
    <xf numFmtId="0" fontId="17" fillId="4" borderId="15" xfId="1" applyFill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7" fillId="0" borderId="15" xfId="1" applyBorder="1" applyAlignment="1">
      <alignment horizontal="center" vertical="center"/>
    </xf>
    <xf numFmtId="0" fontId="14" fillId="5" borderId="14" xfId="0" applyFont="1" applyFill="1" applyBorder="1" applyAlignment="1">
      <alignment horizontal="center" vertical="center"/>
    </xf>
    <xf numFmtId="0" fontId="10" fillId="3" borderId="11" xfId="0" applyNumberFormat="1" applyFont="1" applyFill="1" applyBorder="1" applyAlignment="1" applyProtection="1">
      <alignment horizontal="center" vertical="center"/>
      <protection locked="0"/>
    </xf>
    <xf numFmtId="0" fontId="10" fillId="3" borderId="12" xfId="0" applyNumberFormat="1" applyFont="1" applyFill="1" applyBorder="1" applyAlignment="1" applyProtection="1">
      <alignment vertical="center"/>
      <protection locked="0"/>
    </xf>
    <xf numFmtId="0" fontId="11" fillId="3" borderId="12" xfId="0" applyNumberFormat="1" applyFont="1" applyFill="1" applyBorder="1" applyAlignment="1" applyProtection="1">
      <alignment horizontal="left" vertical="center"/>
      <protection locked="0"/>
    </xf>
    <xf numFmtId="0" fontId="16" fillId="3" borderId="12" xfId="0" applyFont="1" applyFill="1" applyBorder="1" applyAlignment="1">
      <alignment vertical="center"/>
    </xf>
    <xf numFmtId="0" fontId="16" fillId="3" borderId="12" xfId="0" applyFont="1" applyFill="1" applyBorder="1"/>
    <xf numFmtId="0" fontId="11" fillId="3" borderId="9" xfId="0" applyNumberFormat="1" applyFont="1" applyFill="1" applyBorder="1" applyAlignment="1" applyProtection="1">
      <alignment horizontal="left" vertical="top"/>
      <protection locked="0"/>
    </xf>
    <xf numFmtId="0" fontId="16" fillId="3" borderId="25" xfId="0" applyFont="1" applyFill="1" applyBorder="1"/>
    <xf numFmtId="0" fontId="14" fillId="5" borderId="20" xfId="0" applyFont="1" applyFill="1" applyBorder="1" applyAlignment="1">
      <alignment horizontal="center" vertical="center" wrapText="1"/>
    </xf>
    <xf numFmtId="0" fontId="14" fillId="5" borderId="21" xfId="0" applyFont="1" applyFill="1" applyBorder="1" applyAlignment="1">
      <alignment horizontal="center" vertical="center" wrapText="1"/>
    </xf>
    <xf numFmtId="0" fontId="14" fillId="5" borderId="24" xfId="0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center" vertical="center" wrapText="1"/>
    </xf>
    <xf numFmtId="0" fontId="11" fillId="4" borderId="21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 wrapText="1"/>
    </xf>
    <xf numFmtId="0" fontId="11" fillId="2" borderId="22" xfId="0" applyFont="1" applyFill="1" applyBorder="1" applyAlignment="1">
      <alignment horizontal="center" vertical="center" wrapText="1"/>
    </xf>
    <xf numFmtId="0" fontId="14" fillId="5" borderId="13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9" xfId="0" quotePrefix="1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wrapText="1"/>
    </xf>
    <xf numFmtId="0" fontId="11" fillId="2" borderId="6" xfId="0" quotePrefix="1" applyFont="1" applyFill="1" applyBorder="1" applyAlignment="1">
      <alignment horizontal="center" vertical="center" wrapText="1"/>
    </xf>
    <xf numFmtId="0" fontId="11" fillId="2" borderId="20" xfId="0" quotePrefix="1" applyFont="1" applyFill="1" applyBorder="1" applyAlignment="1">
      <alignment horizontal="center" vertical="center" wrapText="1"/>
    </xf>
    <xf numFmtId="0" fontId="11" fillId="4" borderId="21" xfId="0" quotePrefix="1" applyFont="1" applyFill="1" applyBorder="1" applyAlignment="1">
      <alignment horizontal="center" vertical="center" wrapText="1"/>
    </xf>
    <xf numFmtId="0" fontId="11" fillId="2" borderId="21" xfId="0" quotePrefix="1" applyFont="1" applyFill="1" applyBorder="1" applyAlignment="1">
      <alignment horizontal="center" vertical="center" wrapText="1"/>
    </xf>
    <xf numFmtId="0" fontId="11" fillId="2" borderId="22" xfId="0" quotePrefix="1" applyFont="1" applyFill="1" applyBorder="1" applyAlignment="1">
      <alignment horizontal="center" vertical="center" wrapText="1"/>
    </xf>
    <xf numFmtId="0" fontId="11" fillId="4" borderId="6" xfId="0" quotePrefix="1" applyFont="1" applyFill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/>
    </xf>
    <xf numFmtId="0" fontId="16" fillId="4" borderId="28" xfId="0" applyFont="1" applyFill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4" borderId="21" xfId="0" applyFont="1" applyFill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4" fillId="5" borderId="23" xfId="0" applyFont="1" applyFill="1" applyBorder="1" applyAlignment="1">
      <alignment horizontal="center" vertical="center"/>
    </xf>
    <xf numFmtId="165" fontId="16" fillId="0" borderId="26" xfId="0" applyNumberFormat="1" applyFont="1" applyBorder="1" applyAlignment="1">
      <alignment horizontal="center" vertical="center"/>
    </xf>
    <xf numFmtId="165" fontId="16" fillId="4" borderId="30" xfId="0" applyNumberFormat="1" applyFont="1" applyFill="1" applyBorder="1" applyAlignment="1">
      <alignment horizontal="center" vertical="center"/>
    </xf>
    <xf numFmtId="165" fontId="16" fillId="0" borderId="30" xfId="0" applyNumberFormat="1" applyFont="1" applyBorder="1" applyAlignment="1">
      <alignment horizontal="center" vertical="center"/>
    </xf>
    <xf numFmtId="0" fontId="11" fillId="2" borderId="30" xfId="0" quotePrefix="1" applyFont="1" applyFill="1" applyBorder="1" applyAlignment="1">
      <alignment horizontal="center" vertical="center" wrapText="1"/>
    </xf>
    <xf numFmtId="166" fontId="16" fillId="0" borderId="20" xfId="0" applyNumberFormat="1" applyFont="1" applyBorder="1" applyAlignment="1">
      <alignment horizontal="center" vertical="center"/>
    </xf>
    <xf numFmtId="166" fontId="16" fillId="4" borderId="21" xfId="0" applyNumberFormat="1" applyFont="1" applyFill="1" applyBorder="1" applyAlignment="1">
      <alignment horizontal="center" vertical="center"/>
    </xf>
    <xf numFmtId="166" fontId="16" fillId="0" borderId="21" xfId="0" applyNumberFormat="1" applyFont="1" applyBorder="1" applyAlignment="1">
      <alignment horizontal="center" vertical="center"/>
    </xf>
    <xf numFmtId="166" fontId="10" fillId="3" borderId="20" xfId="0" quotePrefix="1" applyNumberFormat="1" applyFont="1" applyFill="1" applyBorder="1" applyAlignment="1">
      <alignment horizontal="center" vertical="center" wrapText="1"/>
    </xf>
    <xf numFmtId="166" fontId="10" fillId="3" borderId="31" xfId="0" quotePrefix="1" applyNumberFormat="1" applyFont="1" applyFill="1" applyBorder="1" applyAlignment="1">
      <alignment horizontal="center" vertical="center" wrapText="1"/>
    </xf>
    <xf numFmtId="0" fontId="10" fillId="3" borderId="20" xfId="0" quotePrefix="1" applyFont="1" applyFill="1" applyBorder="1" applyAlignment="1">
      <alignment horizontal="center" vertical="center" wrapText="1"/>
    </xf>
    <xf numFmtId="0" fontId="16" fillId="3" borderId="21" xfId="0" applyFont="1" applyFill="1" applyBorder="1"/>
    <xf numFmtId="0" fontId="16" fillId="3" borderId="22" xfId="0" applyFont="1" applyFill="1" applyBorder="1"/>
    <xf numFmtId="166" fontId="20" fillId="0" borderId="21" xfId="0" applyNumberFormat="1" applyFont="1" applyBorder="1" applyAlignment="1">
      <alignment horizontal="center" vertical="center"/>
    </xf>
    <xf numFmtId="0" fontId="19" fillId="3" borderId="23" xfId="0" applyFont="1" applyFill="1" applyBorder="1" applyAlignment="1" applyProtection="1">
      <alignment horizontal="center" vertical="top"/>
      <protection locked="0"/>
    </xf>
    <xf numFmtId="0" fontId="19" fillId="3" borderId="13" xfId="0" applyFont="1" applyFill="1" applyBorder="1" applyAlignment="1" applyProtection="1">
      <alignment horizontal="center" vertical="top"/>
      <protection locked="0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19" fillId="3" borderId="12" xfId="0" applyFont="1" applyFill="1" applyBorder="1" applyAlignment="1" applyProtection="1">
      <alignment horizontal="center" vertical="top"/>
      <protection locked="0"/>
    </xf>
    <xf numFmtId="0" fontId="1" fillId="2" borderId="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28574</xdr:colOff>
      <xdr:row>2</xdr:row>
      <xdr:rowOff>10415</xdr:rowOff>
    </xdr:from>
    <xdr:ext cx="1743076" cy="1113535"/>
    <xdr:pic>
      <xdr:nvPicPr>
        <xdr:cNvPr id="5" name="Picture 4">
          <a:extLst>
            <a:ext uri="{FF2B5EF4-FFF2-40B4-BE49-F238E27FC236}">
              <a16:creationId xmlns:a16="http://schemas.microsoft.com/office/drawing/2014/main" id="{B4CD788B-CE25-41F1-9938-01AD7336E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384374" y="620015"/>
          <a:ext cx="1743076" cy="111353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Schottky-Barrier-Diodes-SBD_Guangdong-Hottech-SS24A_C2886579.html" TargetMode="External"/><Relationship Id="rId13" Type="http://schemas.openxmlformats.org/officeDocument/2006/relationships/hyperlink" Target="https://www.lcsc.com/product-detail/Chip-Resistor-Surface-Mount_YAGEO-RC0603FR-0756KL_C114630.html" TargetMode="External"/><Relationship Id="rId18" Type="http://schemas.openxmlformats.org/officeDocument/2006/relationships/hyperlink" Target="https://www.lcsc.com/product-detail/DC-DC-Converters_Texas-Instruments-MC34063ADR_C100023.html" TargetMode="External"/><Relationship Id="rId26" Type="http://schemas.openxmlformats.org/officeDocument/2006/relationships/hyperlink" Target="https://www.lcsc.com/product-detail/span-style-background-color-ff0-Screw-span-span-style-background-color-ff0-terminal-span_DIBO-DB128V-5-0-12P-GN-S_C424688.html" TargetMode="External"/><Relationship Id="rId3" Type="http://schemas.openxmlformats.org/officeDocument/2006/relationships/hyperlink" Target="https://www.lcsc.com/product-detail/Multilayer-Ceramic-Capacitors-MLCC-SMD-SMT_Taiyo-Yuden-UMK107AB7105KA-T_C105174.html" TargetMode="External"/><Relationship Id="rId21" Type="http://schemas.openxmlformats.org/officeDocument/2006/relationships/hyperlink" Target="https://www.lcsc.com/product-detail/Pin-Headers_Ckmtw-Shenzhen-Cankemeng-B-2101S10P-B110_C2895038.html" TargetMode="External"/><Relationship Id="rId7" Type="http://schemas.openxmlformats.org/officeDocument/2006/relationships/hyperlink" Target="https://www.lcsc.com/product-detail/Tantalum-Capacitors_AVX-TAJE107M025RNJ_C7230.html" TargetMode="External"/><Relationship Id="rId12" Type="http://schemas.openxmlformats.org/officeDocument/2006/relationships/hyperlink" Target="https://www.lcsc.com/product-detail/Chip-Resistor-Surface-Mount_YAGEO-RC0603FR-0710KL_C98220.html" TargetMode="External"/><Relationship Id="rId17" Type="http://schemas.openxmlformats.org/officeDocument/2006/relationships/hyperlink" Target="https://www.lcsc.com/product-detail/Tactile-Switches_E-Switch-TL3301NF160QG_C273526.html" TargetMode="External"/><Relationship Id="rId25" Type="http://schemas.openxmlformats.org/officeDocument/2006/relationships/hyperlink" Target="https://www.lcsc.com/product-detail/Chip-span-style-background-color-ff0-Resistor-span-Surface-Mount_UNI-ROYAL-Uniroyal-Elec-1206W4F360KT5E_C17998.html" TargetMode="External"/><Relationship Id="rId2" Type="http://schemas.openxmlformats.org/officeDocument/2006/relationships/hyperlink" Target="https://www.lcsc.com/product-detail/Multilayer-Ceramic-Capacitors-MLCC-SMD-SMT_YAGEO-CC0603JRNPO9BN200_C105621.html" TargetMode="External"/><Relationship Id="rId16" Type="http://schemas.openxmlformats.org/officeDocument/2006/relationships/hyperlink" Target="https://www.lcsc.com/product-detail/Chip-Resistor-Surface-Mount_UNI-ROYAL-Uniroyal-Elec-0603WAF1201T5E_C22765.html" TargetMode="External"/><Relationship Id="rId20" Type="http://schemas.openxmlformats.org/officeDocument/2006/relationships/hyperlink" Target="https://www.lcsc.com/product-detail/USB-Connectors_Amphenol-ICC-10118192-0001LF_C132564.html" TargetMode="External"/><Relationship Id="rId29" Type="http://schemas.openxmlformats.org/officeDocument/2006/relationships/hyperlink" Target="https://lcsc.com/product-detail/Crystals_JYJE-5TJ480000XYLBC_C2149247.html" TargetMode="External"/><Relationship Id="rId1" Type="http://schemas.openxmlformats.org/officeDocument/2006/relationships/hyperlink" Target="https://www.lcsc.com/product-detail/Multilayer-Ceramic-Capacitors-MLCC-SMD-SMT_YAGEO-CC0603ZRY5V9BB104_C106221.html" TargetMode="External"/><Relationship Id="rId6" Type="http://schemas.openxmlformats.org/officeDocument/2006/relationships/hyperlink" Target="https://www.lcsc.com/product-detail/Multilayer-Ceramic-Capacitors-MLCC-SMD-SMT_YAGEO-CC0603KRX7R9BB471_C107092.html" TargetMode="External"/><Relationship Id="rId11" Type="http://schemas.openxmlformats.org/officeDocument/2006/relationships/hyperlink" Target="https://www.lcsc.com/product-detail/Chip-Resistor-Surface-Mount_YAGEO-RC0603FR-0720KL_C105575.html" TargetMode="External"/><Relationship Id="rId24" Type="http://schemas.openxmlformats.org/officeDocument/2006/relationships/hyperlink" Target="https://www.lcsc.com/product-detail/Chip-span-style-background-color-ff0-Resistor-span-Surface-Mount_Viking-Tech-AR03BTC5002A_C304067.html" TargetMode="External"/><Relationship Id="rId5" Type="http://schemas.openxmlformats.org/officeDocument/2006/relationships/hyperlink" Target="https://www.lcsc.com/product-detail/Multilayer-Ceramic-Capacitors-MLCC-SMD-SMT_Murata-Electronics-GRM188R61E475KE11D_C90057.html" TargetMode="External"/><Relationship Id="rId15" Type="http://schemas.openxmlformats.org/officeDocument/2006/relationships/hyperlink" Target="https://www.lcsc.com/product-detail/Chip-Resistor-Surface-Mount_YAGEO-RC0402JR-073K6L_C137873.html" TargetMode="External"/><Relationship Id="rId23" Type="http://schemas.openxmlformats.org/officeDocument/2006/relationships/hyperlink" Target="https://www.lcsc.com/product-detail/span-style-background-color-ff0-Pin-span-Headers_MINTRON-MTP125-1103S1_C358685.html" TargetMode="External"/><Relationship Id="rId28" Type="http://schemas.openxmlformats.org/officeDocument/2006/relationships/hyperlink" Target="https://lcsc.com/product-detail/Aluminum-Electrolytic-Capacitors-SMD_ROQANG-RVT1A471M0607_C335982.html" TargetMode="External"/><Relationship Id="rId10" Type="http://schemas.openxmlformats.org/officeDocument/2006/relationships/hyperlink" Target="https://www.lcsc.com/product-detail/MOSFETs_onsemi-BSS138LT1G_C82045.html" TargetMode="External"/><Relationship Id="rId19" Type="http://schemas.openxmlformats.org/officeDocument/2006/relationships/hyperlink" Target="https://www.lcsc.com/product-detail/Linear-Voltage-Regulators-LDO_STMicroelectronics-LDL1117S33R_C435835.html" TargetMode="External"/><Relationship Id="rId31" Type="http://schemas.openxmlformats.org/officeDocument/2006/relationships/drawing" Target="../drawings/drawing1.xml"/><Relationship Id="rId4" Type="http://schemas.openxmlformats.org/officeDocument/2006/relationships/hyperlink" Target="https://www.lcsc.com/product-detail/Multilayer-Ceramic-Capacitors-MLCC-SMD-SMT_YAGEO-CC0603KRX7R9BB103_C100042.html" TargetMode="External"/><Relationship Id="rId9" Type="http://schemas.openxmlformats.org/officeDocument/2006/relationships/hyperlink" Target="https://www.lcsc.com/product-detail/Power-Inductors_Sunlord-SWPA6045S221MT_C91047.html" TargetMode="External"/><Relationship Id="rId14" Type="http://schemas.openxmlformats.org/officeDocument/2006/relationships/hyperlink" Target="https://www.lcsc.com/product-detail/Chip-Resistor-Surface-Mount_RALEC-RTT03R330FTP_C103893.html" TargetMode="External"/><Relationship Id="rId22" Type="http://schemas.openxmlformats.org/officeDocument/2006/relationships/hyperlink" Target="https://www.lcsc.com/product-detail/span-style-background-color-ff0-Female-span-Headers_HOAUC-2685Y-116CNG1SNA01_C350305.html" TargetMode="External"/><Relationship Id="rId27" Type="http://schemas.openxmlformats.org/officeDocument/2006/relationships/hyperlink" Target="https://www.aliexpress.com/item/1005004166471600.html?spm=a2g0o.productlist.0.0.1b805633k4pef9&amp;algo_pvid=f4602dd0-a665-4737-8e2d-ba99d733dbb8&amp;algo_exp_id=f4602dd0-a665-4737-8e2d-ba99d733dbb8-0&amp;pdp_ext_f=%7B%22sku_id%22%3A%2212000028252499105%22%7D&amp;pdp_npi=2%40dis%21USD%21%214.8%21%21%21%21%21%400b0a557016541866544308883e224b%2112000028252499105%21sea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44"/>
  <sheetViews>
    <sheetView tabSelected="1" topLeftCell="J1" zoomScaleNormal="100" workbookViewId="0">
      <selection activeCell="P44" sqref="P44"/>
    </sheetView>
  </sheetViews>
  <sheetFormatPr defaultRowHeight="15" x14ac:dyDescent="0.25"/>
  <cols>
    <col min="2" max="2" width="3.140625" style="23" customWidth="1"/>
    <col min="3" max="3" width="36" bestFit="1" customWidth="1"/>
    <col min="4" max="4" width="18.85546875" bestFit="1" customWidth="1"/>
    <col min="5" max="5" width="24.28515625" customWidth="1"/>
    <col min="6" max="6" width="29.42578125" bestFit="1" customWidth="1"/>
    <col min="7" max="7" width="29.42578125" customWidth="1"/>
    <col min="8" max="8" width="18.85546875" bestFit="1" customWidth="1"/>
    <col min="9" max="9" width="18.85546875" customWidth="1"/>
    <col min="10" max="10" width="29.42578125" bestFit="1" customWidth="1"/>
    <col min="11" max="11" width="29.42578125" customWidth="1"/>
    <col min="12" max="18" width="26.85546875" bestFit="1" customWidth="1"/>
  </cols>
  <sheetData>
    <row r="1" spans="1:18" ht="15.75" thickBot="1" x14ac:dyDescent="0.3">
      <c r="A1" s="1"/>
      <c r="B1" s="17"/>
      <c r="C1" s="2"/>
      <c r="D1" s="2"/>
      <c r="E1" s="2"/>
      <c r="F1" s="2"/>
      <c r="G1" s="2"/>
      <c r="H1" s="2"/>
      <c r="I1" s="2"/>
      <c r="J1" s="99"/>
      <c r="K1" s="99"/>
      <c r="L1" s="100"/>
    </row>
    <row r="2" spans="1:18" ht="32.25" thickBot="1" x14ac:dyDescent="0.3">
      <c r="A2" s="1"/>
      <c r="B2" s="18"/>
      <c r="C2" s="8" t="s">
        <v>0</v>
      </c>
      <c r="D2" s="8"/>
      <c r="E2" s="24" t="s">
        <v>7</v>
      </c>
      <c r="F2" s="9"/>
      <c r="G2" s="9"/>
      <c r="H2" s="9"/>
      <c r="I2" s="9"/>
      <c r="J2" s="9"/>
      <c r="K2" s="3"/>
      <c r="L2" s="96"/>
      <c r="M2" s="96"/>
      <c r="N2" s="33"/>
      <c r="O2" s="33"/>
      <c r="P2" s="96"/>
      <c r="Q2" s="96"/>
      <c r="R2" s="97"/>
    </row>
    <row r="3" spans="1:18" x14ac:dyDescent="0.25">
      <c r="A3" s="1"/>
      <c r="B3" s="19"/>
      <c r="C3" s="10" t="s">
        <v>1</v>
      </c>
      <c r="D3" s="10"/>
      <c r="E3" s="25" t="s">
        <v>8</v>
      </c>
      <c r="F3" s="10"/>
      <c r="G3" s="10"/>
      <c r="H3" s="10"/>
      <c r="I3" s="10"/>
      <c r="J3" s="10"/>
      <c r="K3" s="4"/>
      <c r="L3" s="4"/>
      <c r="M3" s="4"/>
      <c r="N3" s="4"/>
      <c r="O3" s="4"/>
      <c r="P3" s="4"/>
      <c r="Q3" s="4"/>
      <c r="R3" s="94"/>
    </row>
    <row r="4" spans="1:18" x14ac:dyDescent="0.25">
      <c r="A4" s="1"/>
      <c r="B4" s="19"/>
      <c r="C4" s="10" t="s">
        <v>2</v>
      </c>
      <c r="D4" s="10"/>
      <c r="E4" s="26" t="s">
        <v>8</v>
      </c>
      <c r="F4" s="11"/>
      <c r="G4" s="11"/>
      <c r="H4" s="11"/>
      <c r="I4" s="11"/>
      <c r="J4" s="11"/>
      <c r="K4" s="4"/>
      <c r="L4" s="4"/>
      <c r="M4" s="4"/>
      <c r="N4" s="4"/>
      <c r="O4" s="4"/>
      <c r="P4" s="4"/>
      <c r="Q4" s="4"/>
      <c r="R4" s="95"/>
    </row>
    <row r="5" spans="1:18" x14ac:dyDescent="0.25">
      <c r="A5" s="1"/>
      <c r="B5" s="19"/>
      <c r="C5" s="10" t="s">
        <v>3</v>
      </c>
      <c r="D5" s="10"/>
      <c r="E5" s="27" t="s">
        <v>9</v>
      </c>
      <c r="F5" s="12"/>
      <c r="G5" s="12"/>
      <c r="H5" s="12"/>
      <c r="I5" s="12"/>
      <c r="J5" s="12"/>
      <c r="K5" s="4"/>
      <c r="L5" s="4"/>
      <c r="M5" s="4"/>
      <c r="N5" s="4"/>
      <c r="O5" s="4"/>
      <c r="P5" s="4"/>
      <c r="Q5" s="4"/>
      <c r="R5" s="95"/>
    </row>
    <row r="6" spans="1:18" x14ac:dyDescent="0.25">
      <c r="A6" s="1"/>
      <c r="B6" s="20"/>
      <c r="C6" s="13"/>
      <c r="D6" s="13"/>
      <c r="E6" s="14"/>
      <c r="F6" s="12"/>
      <c r="G6" s="12"/>
      <c r="H6" s="4"/>
      <c r="I6" s="4"/>
      <c r="J6" s="4"/>
      <c r="K6" s="4"/>
      <c r="L6" s="4"/>
      <c r="M6" s="4"/>
      <c r="N6" s="4"/>
      <c r="O6" s="4"/>
      <c r="P6" s="4"/>
      <c r="Q6" s="4"/>
      <c r="R6" s="95"/>
    </row>
    <row r="7" spans="1:18" x14ac:dyDescent="0.25">
      <c r="A7" s="1"/>
      <c r="B7" s="21"/>
      <c r="C7" s="15"/>
      <c r="D7" s="15"/>
      <c r="E7" s="16"/>
      <c r="F7" s="15"/>
      <c r="G7" s="15"/>
      <c r="H7" s="5"/>
      <c r="I7" s="5"/>
      <c r="J7" s="5"/>
      <c r="K7" s="5"/>
      <c r="L7" s="5"/>
      <c r="M7" s="5"/>
      <c r="N7" s="5"/>
      <c r="O7" s="5"/>
      <c r="P7" s="5"/>
      <c r="Q7" s="5"/>
      <c r="R7" s="95"/>
    </row>
    <row r="8" spans="1:18" ht="15.75" thickBot="1" x14ac:dyDescent="0.3">
      <c r="A8" s="1"/>
      <c r="B8" s="29"/>
      <c r="C8" s="30"/>
      <c r="D8" s="30"/>
      <c r="E8" s="31"/>
      <c r="F8" s="15"/>
      <c r="G8" s="15"/>
      <c r="H8" s="5"/>
      <c r="I8" s="5"/>
      <c r="J8" s="5"/>
      <c r="K8" s="5"/>
      <c r="L8" s="5"/>
      <c r="M8" s="5"/>
      <c r="N8" s="5"/>
      <c r="O8" s="5"/>
      <c r="P8" s="5"/>
      <c r="Q8" s="5"/>
      <c r="R8" s="95"/>
    </row>
    <row r="9" spans="1:18" ht="16.5" thickBot="1" x14ac:dyDescent="0.3">
      <c r="A9" s="1"/>
      <c r="B9" s="32" t="s">
        <v>4</v>
      </c>
      <c r="C9" s="32" t="s">
        <v>10</v>
      </c>
      <c r="D9" s="55" t="s">
        <v>42</v>
      </c>
      <c r="E9" s="32" t="s">
        <v>73</v>
      </c>
      <c r="F9" s="55" t="s">
        <v>89</v>
      </c>
      <c r="G9" s="32" t="s">
        <v>151</v>
      </c>
      <c r="H9" s="55" t="s">
        <v>108</v>
      </c>
      <c r="I9" s="32" t="s">
        <v>152</v>
      </c>
      <c r="J9" s="55" t="s">
        <v>129</v>
      </c>
      <c r="K9" s="32" t="s">
        <v>149</v>
      </c>
      <c r="L9" s="40" t="s">
        <v>153</v>
      </c>
      <c r="M9" s="32" t="s">
        <v>154</v>
      </c>
      <c r="N9" s="32" t="s">
        <v>155</v>
      </c>
      <c r="O9" s="78" t="s">
        <v>156</v>
      </c>
      <c r="P9" s="32" t="s">
        <v>157</v>
      </c>
      <c r="Q9" s="32" t="s">
        <v>200</v>
      </c>
      <c r="R9" s="32" t="s">
        <v>201</v>
      </c>
    </row>
    <row r="10" spans="1:18" ht="25.5" x14ac:dyDescent="0.25">
      <c r="A10" s="1"/>
      <c r="B10" s="48">
        <f>ROW(B10) - ROW($B$9)</f>
        <v>1</v>
      </c>
      <c r="C10" s="51" t="s">
        <v>11</v>
      </c>
      <c r="D10" s="56" t="s">
        <v>43</v>
      </c>
      <c r="E10" s="51" t="s">
        <v>74</v>
      </c>
      <c r="F10" s="56" t="s">
        <v>90</v>
      </c>
      <c r="G10" s="65" t="s">
        <v>158</v>
      </c>
      <c r="H10" s="56" t="s">
        <v>109</v>
      </c>
      <c r="I10" s="51" t="s">
        <v>159</v>
      </c>
      <c r="J10" s="56" t="s">
        <v>130</v>
      </c>
      <c r="K10" s="74">
        <v>6</v>
      </c>
      <c r="L10" s="70">
        <f>K10*10</f>
        <v>60</v>
      </c>
      <c r="M10" s="34">
        <v>100</v>
      </c>
      <c r="N10" s="35" t="s">
        <v>160</v>
      </c>
      <c r="O10" s="79">
        <v>3.3E-3</v>
      </c>
      <c r="P10" s="83">
        <f>O10*M10</f>
        <v>0.33</v>
      </c>
      <c r="Q10" s="83"/>
      <c r="R10" s="83"/>
    </row>
    <row r="11" spans="1:18" ht="25.5" x14ac:dyDescent="0.25">
      <c r="A11" s="1"/>
      <c r="B11" s="49">
        <f t="shared" ref="B11:B39" si="0">ROW(B11) - ROW($B$9)</f>
        <v>2</v>
      </c>
      <c r="C11" s="52" t="s">
        <v>12</v>
      </c>
      <c r="D11" s="57" t="s">
        <v>44</v>
      </c>
      <c r="E11" s="52" t="s">
        <v>74</v>
      </c>
      <c r="F11" s="57" t="s">
        <v>91</v>
      </c>
      <c r="G11" s="66" t="s">
        <v>158</v>
      </c>
      <c r="H11" s="57" t="s">
        <v>109</v>
      </c>
      <c r="I11" s="52" t="s">
        <v>161</v>
      </c>
      <c r="J11" s="57" t="s">
        <v>131</v>
      </c>
      <c r="K11" s="75">
        <v>2</v>
      </c>
      <c r="L11" s="71">
        <f t="shared" ref="L11:L40" si="1">K11*10</f>
        <v>20</v>
      </c>
      <c r="M11" s="36">
        <v>100</v>
      </c>
      <c r="N11" s="37" t="s">
        <v>160</v>
      </c>
      <c r="O11" s="80">
        <v>3.8E-3</v>
      </c>
      <c r="P11" s="84">
        <f t="shared" ref="P11:P40" si="2">O11*M11</f>
        <v>0.38</v>
      </c>
      <c r="Q11" s="84"/>
      <c r="R11" s="84"/>
    </row>
    <row r="12" spans="1:18" ht="25.5" x14ac:dyDescent="0.25">
      <c r="A12" s="1"/>
      <c r="B12" s="49">
        <f>ROW(B12) - ROW($B$9)</f>
        <v>3</v>
      </c>
      <c r="C12" s="53" t="s">
        <v>13</v>
      </c>
      <c r="D12" s="58" t="s">
        <v>45</v>
      </c>
      <c r="E12" s="53" t="s">
        <v>74</v>
      </c>
      <c r="F12" s="58" t="s">
        <v>92</v>
      </c>
      <c r="G12" s="67" t="s">
        <v>158</v>
      </c>
      <c r="H12" s="58" t="s">
        <v>110</v>
      </c>
      <c r="I12" s="53" t="s">
        <v>162</v>
      </c>
      <c r="J12" s="58" t="s">
        <v>132</v>
      </c>
      <c r="K12" s="76">
        <v>2</v>
      </c>
      <c r="L12" s="72">
        <f t="shared" si="1"/>
        <v>20</v>
      </c>
      <c r="M12" s="38">
        <v>30</v>
      </c>
      <c r="N12" s="39" t="s">
        <v>160</v>
      </c>
      <c r="O12" s="81">
        <v>3.95E-2</v>
      </c>
      <c r="P12" s="85">
        <f t="shared" si="2"/>
        <v>1.1850000000000001</v>
      </c>
      <c r="Q12" s="85"/>
      <c r="R12" s="85"/>
    </row>
    <row r="13" spans="1:18" ht="25.5" x14ac:dyDescent="0.25">
      <c r="A13" s="1"/>
      <c r="B13" s="49">
        <f t="shared" si="0"/>
        <v>4</v>
      </c>
      <c r="C13" s="52" t="s">
        <v>14</v>
      </c>
      <c r="D13" s="57" t="s">
        <v>46</v>
      </c>
      <c r="E13" s="52" t="s">
        <v>74</v>
      </c>
      <c r="F13" s="57" t="s">
        <v>93</v>
      </c>
      <c r="G13" s="66" t="s">
        <v>158</v>
      </c>
      <c r="H13" s="57" t="s">
        <v>109</v>
      </c>
      <c r="I13" s="52" t="s">
        <v>163</v>
      </c>
      <c r="J13" s="57" t="s">
        <v>133</v>
      </c>
      <c r="K13" s="75">
        <v>1</v>
      </c>
      <c r="L13" s="71">
        <f t="shared" si="1"/>
        <v>10</v>
      </c>
      <c r="M13" s="36">
        <v>100</v>
      </c>
      <c r="N13" s="37" t="s">
        <v>160</v>
      </c>
      <c r="O13" s="80">
        <v>2.5999999999999999E-3</v>
      </c>
      <c r="P13" s="84">
        <f t="shared" si="2"/>
        <v>0.26</v>
      </c>
      <c r="Q13" s="84"/>
      <c r="R13" s="84"/>
    </row>
    <row r="14" spans="1:18" ht="25.5" x14ac:dyDescent="0.25">
      <c r="A14" s="1"/>
      <c r="B14" s="49">
        <f>ROW(B14) - ROW($B$9)</f>
        <v>5</v>
      </c>
      <c r="C14" s="53" t="s">
        <v>15</v>
      </c>
      <c r="D14" s="58" t="s">
        <v>47</v>
      </c>
      <c r="E14" s="53" t="s">
        <v>74</v>
      </c>
      <c r="F14" s="58" t="s">
        <v>94</v>
      </c>
      <c r="G14" s="67" t="s">
        <v>158</v>
      </c>
      <c r="H14" s="58" t="s">
        <v>111</v>
      </c>
      <c r="I14" s="53" t="s">
        <v>164</v>
      </c>
      <c r="J14" s="58" t="s">
        <v>134</v>
      </c>
      <c r="K14" s="76">
        <v>2</v>
      </c>
      <c r="L14" s="72">
        <f t="shared" si="1"/>
        <v>20</v>
      </c>
      <c r="M14" s="38">
        <v>30</v>
      </c>
      <c r="N14" s="39" t="s">
        <v>160</v>
      </c>
      <c r="O14" s="81">
        <v>8.2699999999999996E-2</v>
      </c>
      <c r="P14" s="85">
        <f t="shared" si="2"/>
        <v>2.4809999999999999</v>
      </c>
      <c r="Q14" s="85"/>
      <c r="R14" s="85"/>
    </row>
    <row r="15" spans="1:18" ht="25.5" x14ac:dyDescent="0.25">
      <c r="A15" s="1"/>
      <c r="B15" s="49">
        <f t="shared" si="0"/>
        <v>6</v>
      </c>
      <c r="C15" s="52" t="s">
        <v>16</v>
      </c>
      <c r="D15" s="57" t="s">
        <v>48</v>
      </c>
      <c r="E15" s="52" t="s">
        <v>74</v>
      </c>
      <c r="F15" s="57" t="s">
        <v>95</v>
      </c>
      <c r="G15" s="66" t="s">
        <v>158</v>
      </c>
      <c r="H15" s="57" t="s">
        <v>109</v>
      </c>
      <c r="I15" s="52" t="s">
        <v>165</v>
      </c>
      <c r="J15" s="57" t="s">
        <v>135</v>
      </c>
      <c r="K15" s="75">
        <v>1</v>
      </c>
      <c r="L15" s="71">
        <f t="shared" si="1"/>
        <v>10</v>
      </c>
      <c r="M15" s="36">
        <v>100</v>
      </c>
      <c r="N15" s="37" t="s">
        <v>160</v>
      </c>
      <c r="O15" s="80">
        <v>3.3999999999999998E-3</v>
      </c>
      <c r="P15" s="84">
        <f t="shared" si="2"/>
        <v>0.33999999999999997</v>
      </c>
      <c r="Q15" s="84"/>
      <c r="R15" s="84"/>
    </row>
    <row r="16" spans="1:18" ht="25.5" x14ac:dyDescent="0.25">
      <c r="A16" s="1"/>
      <c r="B16" s="49">
        <f>ROW(B16) - ROW($B$9)</f>
        <v>7</v>
      </c>
      <c r="C16" s="53" t="s">
        <v>17</v>
      </c>
      <c r="D16" s="58" t="s">
        <v>49</v>
      </c>
      <c r="E16" s="53" t="s">
        <v>75</v>
      </c>
      <c r="F16" s="58" t="s">
        <v>96</v>
      </c>
      <c r="G16" s="67" t="s">
        <v>158</v>
      </c>
      <c r="H16" s="58" t="s">
        <v>112</v>
      </c>
      <c r="I16" s="53" t="s">
        <v>166</v>
      </c>
      <c r="J16" s="58" t="s">
        <v>136</v>
      </c>
      <c r="K16" s="76">
        <v>1</v>
      </c>
      <c r="L16" s="72">
        <f t="shared" si="1"/>
        <v>10</v>
      </c>
      <c r="M16" s="38">
        <v>12</v>
      </c>
      <c r="N16" s="39" t="s">
        <v>160</v>
      </c>
      <c r="O16" s="81">
        <v>1.1614</v>
      </c>
      <c r="P16" s="85">
        <f t="shared" si="2"/>
        <v>13.9368</v>
      </c>
      <c r="Q16" s="85"/>
      <c r="R16" s="85"/>
    </row>
    <row r="17" spans="1:18" ht="76.5" x14ac:dyDescent="0.25">
      <c r="A17" s="1"/>
      <c r="B17" s="49">
        <f t="shared" si="0"/>
        <v>8</v>
      </c>
      <c r="C17" s="52" t="s">
        <v>18</v>
      </c>
      <c r="D17" s="57" t="s">
        <v>206</v>
      </c>
      <c r="E17" s="52" t="s">
        <v>150</v>
      </c>
      <c r="F17" s="57" t="s">
        <v>207</v>
      </c>
      <c r="G17" s="66" t="s">
        <v>158</v>
      </c>
      <c r="H17" s="57" t="s">
        <v>208</v>
      </c>
      <c r="I17" s="52" t="s">
        <v>209</v>
      </c>
      <c r="J17" s="57" t="s">
        <v>137</v>
      </c>
      <c r="K17" s="75">
        <v>1</v>
      </c>
      <c r="L17" s="71">
        <f t="shared" si="1"/>
        <v>10</v>
      </c>
      <c r="M17" s="36">
        <v>12</v>
      </c>
      <c r="N17" s="37" t="s">
        <v>160</v>
      </c>
      <c r="O17" s="80">
        <v>4.5900000000000003E-2</v>
      </c>
      <c r="P17" s="84">
        <f t="shared" si="2"/>
        <v>0.55080000000000007</v>
      </c>
      <c r="Q17" s="84"/>
      <c r="R17" s="84"/>
    </row>
    <row r="18" spans="1:18" ht="51" x14ac:dyDescent="0.25">
      <c r="A18" s="1"/>
      <c r="B18" s="49">
        <f>ROW(B18) - ROW($B$9)</f>
        <v>9</v>
      </c>
      <c r="C18" s="53" t="s">
        <v>19</v>
      </c>
      <c r="D18" s="58" t="s">
        <v>50</v>
      </c>
      <c r="E18" s="53" t="s">
        <v>76</v>
      </c>
      <c r="F18" s="58" t="s">
        <v>138</v>
      </c>
      <c r="G18" s="67" t="s">
        <v>158</v>
      </c>
      <c r="H18" s="58" t="s">
        <v>113</v>
      </c>
      <c r="I18" s="53" t="s">
        <v>167</v>
      </c>
      <c r="J18" s="64" t="s">
        <v>168</v>
      </c>
      <c r="K18" s="76">
        <v>1</v>
      </c>
      <c r="L18" s="72">
        <f t="shared" si="1"/>
        <v>10</v>
      </c>
      <c r="M18" s="38">
        <v>20</v>
      </c>
      <c r="N18" s="39" t="s">
        <v>160</v>
      </c>
      <c r="O18" s="81">
        <v>3.1699999999999999E-2</v>
      </c>
      <c r="P18" s="85">
        <f t="shared" si="2"/>
        <v>0.63400000000000001</v>
      </c>
      <c r="Q18" s="85"/>
      <c r="R18" s="85"/>
    </row>
    <row r="19" spans="1:18" ht="25.5" x14ac:dyDescent="0.25">
      <c r="A19" s="1"/>
      <c r="B19" s="49">
        <f t="shared" si="0"/>
        <v>10</v>
      </c>
      <c r="C19" s="52" t="s">
        <v>20</v>
      </c>
      <c r="D19" s="57" t="s">
        <v>51</v>
      </c>
      <c r="E19" s="52" t="s">
        <v>150</v>
      </c>
      <c r="F19" s="61" t="s">
        <v>97</v>
      </c>
      <c r="G19" s="52" t="s">
        <v>196</v>
      </c>
      <c r="H19" s="57" t="s">
        <v>114</v>
      </c>
      <c r="I19" s="52" t="s">
        <v>197</v>
      </c>
      <c r="J19" s="69" t="s">
        <v>168</v>
      </c>
      <c r="K19" s="75">
        <v>1</v>
      </c>
      <c r="L19" s="71">
        <f t="shared" si="1"/>
        <v>10</v>
      </c>
      <c r="M19" s="36">
        <v>11</v>
      </c>
      <c r="N19" s="37" t="s">
        <v>160</v>
      </c>
      <c r="O19" s="80">
        <v>0.64200000000000002</v>
      </c>
      <c r="P19" s="84">
        <f t="shared" si="2"/>
        <v>7.0620000000000003</v>
      </c>
      <c r="Q19" s="84"/>
      <c r="R19" s="84"/>
    </row>
    <row r="20" spans="1:18" ht="25.5" x14ac:dyDescent="0.25">
      <c r="A20" s="1"/>
      <c r="B20" s="49">
        <f>ROW(B20) - ROW($B$9)</f>
        <v>11</v>
      </c>
      <c r="C20" s="53" t="s">
        <v>21</v>
      </c>
      <c r="D20" s="58" t="s">
        <v>52</v>
      </c>
      <c r="E20" s="53" t="s">
        <v>150</v>
      </c>
      <c r="F20" s="62" t="s">
        <v>77</v>
      </c>
      <c r="G20" s="53" t="s">
        <v>188</v>
      </c>
      <c r="H20" s="58" t="s">
        <v>115</v>
      </c>
      <c r="I20" s="53" t="s">
        <v>189</v>
      </c>
      <c r="J20" s="64" t="s">
        <v>168</v>
      </c>
      <c r="K20" s="76">
        <v>1</v>
      </c>
      <c r="L20" s="72">
        <f t="shared" si="1"/>
        <v>10</v>
      </c>
      <c r="M20" s="38">
        <v>15</v>
      </c>
      <c r="N20" s="39" t="s">
        <v>160</v>
      </c>
      <c r="O20" s="81">
        <v>0.125</v>
      </c>
      <c r="P20" s="85">
        <f t="shared" si="2"/>
        <v>1.875</v>
      </c>
      <c r="Q20" s="85"/>
      <c r="R20" s="85"/>
    </row>
    <row r="21" spans="1:18" ht="38.25" x14ac:dyDescent="0.25">
      <c r="A21" s="1"/>
      <c r="B21" s="49">
        <f t="shared" si="0"/>
        <v>12</v>
      </c>
      <c r="C21" s="52" t="s">
        <v>22</v>
      </c>
      <c r="D21" s="57" t="s">
        <v>53</v>
      </c>
      <c r="E21" s="52" t="s">
        <v>150</v>
      </c>
      <c r="F21" s="63" t="s">
        <v>185</v>
      </c>
      <c r="G21" s="66" t="s">
        <v>158</v>
      </c>
      <c r="H21" s="57" t="s">
        <v>186</v>
      </c>
      <c r="I21" s="52" t="s">
        <v>187</v>
      </c>
      <c r="J21" s="69" t="s">
        <v>168</v>
      </c>
      <c r="K21" s="75">
        <v>1</v>
      </c>
      <c r="L21" s="71">
        <f t="shared" si="1"/>
        <v>10</v>
      </c>
      <c r="M21" s="36">
        <v>15</v>
      </c>
      <c r="N21" s="37" t="s">
        <v>160</v>
      </c>
      <c r="O21" s="80">
        <v>8.3500000000000005E-2</v>
      </c>
      <c r="P21" s="84">
        <f t="shared" si="2"/>
        <v>1.2525000000000002</v>
      </c>
      <c r="Q21" s="84"/>
      <c r="R21" s="84"/>
    </row>
    <row r="22" spans="1:18" ht="15.75" x14ac:dyDescent="0.25">
      <c r="A22" s="1"/>
      <c r="B22" s="49">
        <f>ROW(B22) - ROW($B$9)</f>
        <v>13</v>
      </c>
      <c r="C22" s="53" t="s">
        <v>23</v>
      </c>
      <c r="D22" s="58" t="s">
        <v>54</v>
      </c>
      <c r="E22" s="53" t="s">
        <v>150</v>
      </c>
      <c r="F22" s="58" t="s">
        <v>78</v>
      </c>
      <c r="G22" s="67" t="s">
        <v>158</v>
      </c>
      <c r="H22" s="58" t="s">
        <v>116</v>
      </c>
      <c r="I22" s="67" t="s">
        <v>158</v>
      </c>
      <c r="J22" s="64" t="s">
        <v>158</v>
      </c>
      <c r="K22" s="76">
        <v>1</v>
      </c>
      <c r="L22" s="72">
        <f t="shared" si="1"/>
        <v>10</v>
      </c>
      <c r="M22" s="28" t="s">
        <v>158</v>
      </c>
      <c r="N22" s="28" t="s">
        <v>158</v>
      </c>
      <c r="O22" s="82" t="s">
        <v>158</v>
      </c>
      <c r="P22" s="67" t="s">
        <v>158</v>
      </c>
      <c r="Q22" s="67"/>
      <c r="R22" s="67"/>
    </row>
    <row r="23" spans="1:18" ht="25.5" x14ac:dyDescent="0.25">
      <c r="A23" s="1"/>
      <c r="B23" s="49">
        <f t="shared" si="0"/>
        <v>14</v>
      </c>
      <c r="C23" s="52" t="s">
        <v>24</v>
      </c>
      <c r="D23" s="57" t="s">
        <v>55</v>
      </c>
      <c r="E23" s="52" t="s">
        <v>150</v>
      </c>
      <c r="F23" s="57" t="s">
        <v>79</v>
      </c>
      <c r="G23" s="66" t="s">
        <v>158</v>
      </c>
      <c r="H23" s="57" t="s">
        <v>117</v>
      </c>
      <c r="I23" s="52" t="s">
        <v>169</v>
      </c>
      <c r="J23" s="57" t="s">
        <v>139</v>
      </c>
      <c r="K23" s="75">
        <v>1</v>
      </c>
      <c r="L23" s="71">
        <f t="shared" si="1"/>
        <v>10</v>
      </c>
      <c r="M23" s="36">
        <v>15</v>
      </c>
      <c r="N23" s="37" t="s">
        <v>160</v>
      </c>
      <c r="O23" s="80">
        <v>0.1799</v>
      </c>
      <c r="P23" s="84">
        <f t="shared" si="2"/>
        <v>2.6985000000000001</v>
      </c>
      <c r="Q23" s="84"/>
      <c r="R23" s="84"/>
    </row>
    <row r="24" spans="1:18" ht="25.5" x14ac:dyDescent="0.25">
      <c r="A24" s="1"/>
      <c r="B24" s="49">
        <f>ROW(B24) - ROW($B$9)</f>
        <v>15</v>
      </c>
      <c r="C24" s="53" t="s">
        <v>25</v>
      </c>
      <c r="D24" s="58" t="s">
        <v>56</v>
      </c>
      <c r="E24" s="53" t="s">
        <v>80</v>
      </c>
      <c r="F24" s="62">
        <v>61300311121</v>
      </c>
      <c r="G24" s="53" t="s">
        <v>190</v>
      </c>
      <c r="H24" s="58" t="s">
        <v>118</v>
      </c>
      <c r="I24" s="53" t="s">
        <v>191</v>
      </c>
      <c r="J24" s="64" t="s">
        <v>171</v>
      </c>
      <c r="K24" s="76">
        <v>1</v>
      </c>
      <c r="L24" s="72">
        <f t="shared" si="1"/>
        <v>10</v>
      </c>
      <c r="M24" s="38">
        <v>50</v>
      </c>
      <c r="N24" s="39" t="s">
        <v>160</v>
      </c>
      <c r="O24" s="81">
        <v>1.84E-2</v>
      </c>
      <c r="P24" s="85">
        <f t="shared" si="2"/>
        <v>0.91999999999999993</v>
      </c>
      <c r="Q24" s="85"/>
      <c r="R24" s="85"/>
    </row>
    <row r="25" spans="1:18" ht="25.5" x14ac:dyDescent="0.25">
      <c r="A25" s="1"/>
      <c r="B25" s="49">
        <f t="shared" si="0"/>
        <v>16</v>
      </c>
      <c r="C25" s="52" t="s">
        <v>26</v>
      </c>
      <c r="D25" s="57" t="s">
        <v>57</v>
      </c>
      <c r="E25" s="52" t="s">
        <v>81</v>
      </c>
      <c r="F25" s="57" t="s">
        <v>98</v>
      </c>
      <c r="G25" s="66" t="s">
        <v>158</v>
      </c>
      <c r="H25" s="57" t="s">
        <v>119</v>
      </c>
      <c r="I25" s="52" t="s">
        <v>170</v>
      </c>
      <c r="J25" s="69" t="s">
        <v>171</v>
      </c>
      <c r="K25" s="75">
        <v>6</v>
      </c>
      <c r="L25" s="71">
        <f t="shared" si="1"/>
        <v>60</v>
      </c>
      <c r="M25" s="36">
        <v>70</v>
      </c>
      <c r="N25" s="37" t="s">
        <v>160</v>
      </c>
      <c r="O25" s="80">
        <v>0.20250000000000001</v>
      </c>
      <c r="P25" s="84">
        <f t="shared" si="2"/>
        <v>14.175000000000001</v>
      </c>
      <c r="Q25" s="84"/>
      <c r="R25" s="84"/>
    </row>
    <row r="26" spans="1:18" ht="25.5" x14ac:dyDescent="0.25">
      <c r="A26" s="1"/>
      <c r="B26" s="49">
        <f>ROW(B26) - ROW($B$9)</f>
        <v>17</v>
      </c>
      <c r="C26" s="53" t="s">
        <v>27</v>
      </c>
      <c r="D26" s="58" t="s">
        <v>58</v>
      </c>
      <c r="E26" s="53" t="s">
        <v>82</v>
      </c>
      <c r="F26" s="62" t="s">
        <v>99</v>
      </c>
      <c r="G26" s="53" t="s">
        <v>192</v>
      </c>
      <c r="H26" s="58" t="s">
        <v>120</v>
      </c>
      <c r="I26" s="53" t="s">
        <v>193</v>
      </c>
      <c r="J26" s="58" t="s">
        <v>140</v>
      </c>
      <c r="K26" s="76">
        <v>2</v>
      </c>
      <c r="L26" s="72">
        <f t="shared" si="1"/>
        <v>20</v>
      </c>
      <c r="M26" s="38">
        <v>25</v>
      </c>
      <c r="N26" s="39" t="s">
        <v>160</v>
      </c>
      <c r="O26" s="81">
        <v>0.1135</v>
      </c>
      <c r="P26" s="85">
        <f t="shared" si="2"/>
        <v>2.8374999999999999</v>
      </c>
      <c r="Q26" s="85"/>
      <c r="R26" s="85"/>
    </row>
    <row r="27" spans="1:18" ht="25.5" x14ac:dyDescent="0.25">
      <c r="A27" s="1"/>
      <c r="B27" s="49">
        <f t="shared" si="0"/>
        <v>18</v>
      </c>
      <c r="C27" s="52" t="s">
        <v>28</v>
      </c>
      <c r="D27" s="57" t="s">
        <v>59</v>
      </c>
      <c r="E27" s="52" t="s">
        <v>83</v>
      </c>
      <c r="F27" s="61" t="s">
        <v>100</v>
      </c>
      <c r="G27" s="52" t="s">
        <v>194</v>
      </c>
      <c r="H27" s="57" t="s">
        <v>121</v>
      </c>
      <c r="I27" s="52" t="s">
        <v>195</v>
      </c>
      <c r="J27" s="57" t="s">
        <v>141</v>
      </c>
      <c r="K27" s="75">
        <v>1</v>
      </c>
      <c r="L27" s="71">
        <f t="shared" si="1"/>
        <v>10</v>
      </c>
      <c r="M27" s="36">
        <v>50</v>
      </c>
      <c r="N27" s="37" t="s">
        <v>160</v>
      </c>
      <c r="O27" s="80">
        <v>6.4999999999999997E-3</v>
      </c>
      <c r="P27" s="84">
        <f t="shared" si="2"/>
        <v>0.32500000000000001</v>
      </c>
      <c r="Q27" s="84"/>
      <c r="R27" s="84"/>
    </row>
    <row r="28" spans="1:18" ht="25.5" x14ac:dyDescent="0.25">
      <c r="A28" s="1"/>
      <c r="B28" s="49">
        <f>ROW(B28) - ROW($B$9)</f>
        <v>19</v>
      </c>
      <c r="C28" s="53" t="s">
        <v>29</v>
      </c>
      <c r="D28" s="58" t="s">
        <v>60</v>
      </c>
      <c r="E28" s="53" t="s">
        <v>82</v>
      </c>
      <c r="F28" s="58" t="s">
        <v>101</v>
      </c>
      <c r="G28" s="67" t="s">
        <v>158</v>
      </c>
      <c r="H28" s="58" t="s">
        <v>109</v>
      </c>
      <c r="I28" s="53" t="s">
        <v>172</v>
      </c>
      <c r="J28" s="58" t="s">
        <v>142</v>
      </c>
      <c r="K28" s="76">
        <v>11</v>
      </c>
      <c r="L28" s="72">
        <f t="shared" si="1"/>
        <v>110</v>
      </c>
      <c r="M28" s="38">
        <v>200</v>
      </c>
      <c r="N28" s="39" t="s">
        <v>160</v>
      </c>
      <c r="O28" s="81">
        <v>1.6000000000000001E-3</v>
      </c>
      <c r="P28" s="85">
        <f t="shared" si="2"/>
        <v>0.32</v>
      </c>
      <c r="Q28" s="85"/>
      <c r="R28" s="85"/>
    </row>
    <row r="29" spans="1:18" ht="25.5" x14ac:dyDescent="0.25">
      <c r="A29" s="1"/>
      <c r="B29" s="49">
        <f t="shared" si="0"/>
        <v>20</v>
      </c>
      <c r="C29" s="52" t="s">
        <v>30</v>
      </c>
      <c r="D29" s="57" t="s">
        <v>61</v>
      </c>
      <c r="E29" s="52" t="s">
        <v>82</v>
      </c>
      <c r="F29" s="57" t="s">
        <v>102</v>
      </c>
      <c r="G29" s="66" t="s">
        <v>158</v>
      </c>
      <c r="H29" s="57" t="s">
        <v>109</v>
      </c>
      <c r="I29" s="52" t="s">
        <v>173</v>
      </c>
      <c r="J29" s="57" t="s">
        <v>143</v>
      </c>
      <c r="K29" s="75">
        <v>13</v>
      </c>
      <c r="L29" s="71">
        <f t="shared" si="1"/>
        <v>130</v>
      </c>
      <c r="M29" s="36">
        <v>200</v>
      </c>
      <c r="N29" s="37" t="s">
        <v>160</v>
      </c>
      <c r="O29" s="80">
        <v>1.4E-3</v>
      </c>
      <c r="P29" s="84">
        <f t="shared" si="2"/>
        <v>0.27999999999999997</v>
      </c>
      <c r="Q29" s="84"/>
      <c r="R29" s="84"/>
    </row>
    <row r="30" spans="1:18" ht="25.5" x14ac:dyDescent="0.25">
      <c r="A30" s="1"/>
      <c r="B30" s="49">
        <f>ROW(B30) - ROW($B$9)</f>
        <v>21</v>
      </c>
      <c r="C30" s="53" t="s">
        <v>31</v>
      </c>
      <c r="D30" s="58" t="s">
        <v>62</v>
      </c>
      <c r="E30" s="53" t="s">
        <v>82</v>
      </c>
      <c r="F30" s="58" t="s">
        <v>103</v>
      </c>
      <c r="G30" s="67" t="s">
        <v>158</v>
      </c>
      <c r="H30" s="58" t="s">
        <v>109</v>
      </c>
      <c r="I30" s="53" t="s">
        <v>174</v>
      </c>
      <c r="J30" s="58" t="s">
        <v>144</v>
      </c>
      <c r="K30" s="76">
        <v>1</v>
      </c>
      <c r="L30" s="72">
        <f t="shared" si="1"/>
        <v>10</v>
      </c>
      <c r="M30" s="38">
        <v>100</v>
      </c>
      <c r="N30" s="39" t="s">
        <v>160</v>
      </c>
      <c r="O30" s="81">
        <v>1.6000000000000001E-3</v>
      </c>
      <c r="P30" s="85">
        <f t="shared" si="2"/>
        <v>0.16</v>
      </c>
      <c r="Q30" s="85"/>
      <c r="R30" s="85"/>
    </row>
    <row r="31" spans="1:18" ht="76.5" x14ac:dyDescent="0.25">
      <c r="A31" s="1"/>
      <c r="B31" s="49">
        <f t="shared" si="0"/>
        <v>22</v>
      </c>
      <c r="C31" s="52" t="s">
        <v>32</v>
      </c>
      <c r="D31" s="57" t="s">
        <v>63</v>
      </c>
      <c r="E31" s="52" t="s">
        <v>82</v>
      </c>
      <c r="F31" s="57" t="s">
        <v>175</v>
      </c>
      <c r="G31" s="66" t="s">
        <v>158</v>
      </c>
      <c r="H31" s="57" t="s">
        <v>122</v>
      </c>
      <c r="I31" s="52" t="s">
        <v>176</v>
      </c>
      <c r="J31" s="57" t="s">
        <v>145</v>
      </c>
      <c r="K31" s="75">
        <v>1</v>
      </c>
      <c r="L31" s="71">
        <f t="shared" si="1"/>
        <v>10</v>
      </c>
      <c r="M31" s="36">
        <v>50</v>
      </c>
      <c r="N31" s="37" t="s">
        <v>160</v>
      </c>
      <c r="O31" s="80">
        <v>4.3E-3</v>
      </c>
      <c r="P31" s="84">
        <f t="shared" si="2"/>
        <v>0.215</v>
      </c>
      <c r="Q31" s="84"/>
      <c r="R31" s="84"/>
    </row>
    <row r="32" spans="1:18" ht="51" x14ac:dyDescent="0.25">
      <c r="A32" s="1"/>
      <c r="B32" s="49">
        <f>ROW(B32) - ROW($B$9)</f>
        <v>23</v>
      </c>
      <c r="C32" s="53" t="s">
        <v>33</v>
      </c>
      <c r="D32" s="58" t="s">
        <v>64</v>
      </c>
      <c r="E32" s="53" t="s">
        <v>84</v>
      </c>
      <c r="F32" s="58" t="s">
        <v>104</v>
      </c>
      <c r="G32" s="67" t="s">
        <v>158</v>
      </c>
      <c r="H32" s="58" t="s">
        <v>109</v>
      </c>
      <c r="I32" s="53" t="s">
        <v>177</v>
      </c>
      <c r="J32" s="58" t="s">
        <v>146</v>
      </c>
      <c r="K32" s="76">
        <v>1</v>
      </c>
      <c r="L32" s="72">
        <f t="shared" si="1"/>
        <v>10</v>
      </c>
      <c r="M32" s="38">
        <v>100</v>
      </c>
      <c r="N32" s="39" t="s">
        <v>160</v>
      </c>
      <c r="O32" s="81">
        <v>3.5999999999999999E-3</v>
      </c>
      <c r="P32" s="85">
        <f t="shared" si="2"/>
        <v>0.36</v>
      </c>
      <c r="Q32" s="85"/>
      <c r="R32" s="85"/>
    </row>
    <row r="33" spans="1:21" ht="76.5" x14ac:dyDescent="0.25">
      <c r="A33" s="1"/>
      <c r="B33" s="49">
        <f t="shared" si="0"/>
        <v>24</v>
      </c>
      <c r="C33" s="52" t="s">
        <v>34</v>
      </c>
      <c r="D33" s="57" t="s">
        <v>65</v>
      </c>
      <c r="E33" s="52" t="s">
        <v>82</v>
      </c>
      <c r="F33" s="57" t="s">
        <v>178</v>
      </c>
      <c r="G33" s="66" t="s">
        <v>158</v>
      </c>
      <c r="H33" s="57" t="s">
        <v>123</v>
      </c>
      <c r="I33" s="52" t="s">
        <v>179</v>
      </c>
      <c r="J33" s="57" t="s">
        <v>147</v>
      </c>
      <c r="K33" s="75">
        <v>1</v>
      </c>
      <c r="L33" s="71">
        <f t="shared" si="1"/>
        <v>10</v>
      </c>
      <c r="M33" s="36">
        <v>100</v>
      </c>
      <c r="N33" s="37" t="s">
        <v>160</v>
      </c>
      <c r="O33" s="80">
        <v>1.4E-3</v>
      </c>
      <c r="P33" s="84">
        <f t="shared" si="2"/>
        <v>0.13999999999999999</v>
      </c>
      <c r="Q33" s="84"/>
      <c r="R33" s="84"/>
    </row>
    <row r="34" spans="1:21" ht="15.75" x14ac:dyDescent="0.25">
      <c r="A34" s="1"/>
      <c r="B34" s="49">
        <f>ROW(B34) - ROW($B$9)</f>
        <v>25</v>
      </c>
      <c r="C34" s="53" t="s">
        <v>35</v>
      </c>
      <c r="D34" s="58" t="s">
        <v>66</v>
      </c>
      <c r="E34" s="53" t="s">
        <v>150</v>
      </c>
      <c r="F34" s="64" t="s">
        <v>158</v>
      </c>
      <c r="G34" s="67" t="s">
        <v>158</v>
      </c>
      <c r="H34" s="64" t="s">
        <v>158</v>
      </c>
      <c r="I34" s="67" t="s">
        <v>158</v>
      </c>
      <c r="J34" s="64" t="s">
        <v>158</v>
      </c>
      <c r="K34" s="67">
        <v>1</v>
      </c>
      <c r="L34" s="60">
        <f>K34*10</f>
        <v>10</v>
      </c>
      <c r="M34" s="28" t="s">
        <v>158</v>
      </c>
      <c r="N34" s="28" t="s">
        <v>158</v>
      </c>
      <c r="O34" s="82" t="s">
        <v>158</v>
      </c>
      <c r="P34" s="67" t="s">
        <v>158</v>
      </c>
      <c r="Q34" s="67"/>
      <c r="R34" s="67"/>
    </row>
    <row r="35" spans="1:21" ht="63.75" x14ac:dyDescent="0.25">
      <c r="A35" s="1"/>
      <c r="B35" s="49">
        <f t="shared" si="0"/>
        <v>26</v>
      </c>
      <c r="C35" s="52" t="s">
        <v>36</v>
      </c>
      <c r="D35" s="57" t="s">
        <v>67</v>
      </c>
      <c r="E35" s="52" t="s">
        <v>150</v>
      </c>
      <c r="F35" s="57" t="s">
        <v>105</v>
      </c>
      <c r="G35" s="66" t="s">
        <v>158</v>
      </c>
      <c r="H35" s="57" t="s">
        <v>124</v>
      </c>
      <c r="I35" s="52" t="s">
        <v>180</v>
      </c>
      <c r="J35" s="69" t="s">
        <v>158</v>
      </c>
      <c r="K35" s="75">
        <v>1</v>
      </c>
      <c r="L35" s="71">
        <f t="shared" si="1"/>
        <v>10</v>
      </c>
      <c r="M35" s="36">
        <v>12</v>
      </c>
      <c r="N35" s="37" t="s">
        <v>160</v>
      </c>
      <c r="O35" s="80">
        <v>0.45090000000000002</v>
      </c>
      <c r="P35" s="84">
        <f t="shared" si="2"/>
        <v>5.4108000000000001</v>
      </c>
      <c r="Q35" s="84"/>
      <c r="R35" s="84"/>
    </row>
    <row r="36" spans="1:21" ht="25.5" x14ac:dyDescent="0.25">
      <c r="A36" s="1"/>
      <c r="B36" s="49">
        <f>ROW(B36) - ROW($B$9)</f>
        <v>27</v>
      </c>
      <c r="C36" s="53" t="s">
        <v>37</v>
      </c>
      <c r="D36" s="58" t="s">
        <v>68</v>
      </c>
      <c r="E36" s="53" t="s">
        <v>198</v>
      </c>
      <c r="F36" s="58" t="s">
        <v>106</v>
      </c>
      <c r="G36" s="67" t="s">
        <v>158</v>
      </c>
      <c r="H36" s="58" t="s">
        <v>125</v>
      </c>
      <c r="I36" s="67" t="s">
        <v>158</v>
      </c>
      <c r="J36" s="64" t="s">
        <v>158</v>
      </c>
      <c r="K36" s="76">
        <v>1</v>
      </c>
      <c r="L36" s="72">
        <f t="shared" si="1"/>
        <v>10</v>
      </c>
      <c r="M36" s="38">
        <v>11</v>
      </c>
      <c r="N36" s="39" t="s">
        <v>199</v>
      </c>
      <c r="O36" s="81">
        <v>6.5</v>
      </c>
      <c r="P36" s="85">
        <f t="shared" si="2"/>
        <v>71.5</v>
      </c>
      <c r="Q36" s="85"/>
      <c r="R36" s="85"/>
      <c r="U36">
        <v>3.16</v>
      </c>
    </row>
    <row r="37" spans="1:21" ht="63.75" x14ac:dyDescent="0.25">
      <c r="A37" s="1"/>
      <c r="B37" s="49">
        <f t="shared" si="0"/>
        <v>28</v>
      </c>
      <c r="C37" s="52" t="s">
        <v>38</v>
      </c>
      <c r="D37" s="57" t="s">
        <v>69</v>
      </c>
      <c r="E37" s="52" t="s">
        <v>85</v>
      </c>
      <c r="F37" s="57" t="s">
        <v>107</v>
      </c>
      <c r="G37" s="66" t="s">
        <v>158</v>
      </c>
      <c r="H37" s="57" t="s">
        <v>126</v>
      </c>
      <c r="I37" s="52" t="s">
        <v>181</v>
      </c>
      <c r="J37" s="69" t="s">
        <v>158</v>
      </c>
      <c r="K37" s="75">
        <v>1</v>
      </c>
      <c r="L37" s="71">
        <f t="shared" si="1"/>
        <v>10</v>
      </c>
      <c r="M37" s="36">
        <v>11</v>
      </c>
      <c r="N37" s="37" t="s">
        <v>160</v>
      </c>
      <c r="O37" s="80">
        <v>0.39679999999999999</v>
      </c>
      <c r="P37" s="84">
        <f t="shared" si="2"/>
        <v>4.3647999999999998</v>
      </c>
      <c r="Q37" s="84"/>
      <c r="R37" s="84"/>
    </row>
    <row r="38" spans="1:21" ht="25.5" x14ac:dyDescent="0.25">
      <c r="A38" s="1"/>
      <c r="B38" s="49">
        <f>ROW(B38) - ROW($B$9)</f>
        <v>29</v>
      </c>
      <c r="C38" s="53" t="s">
        <v>39</v>
      </c>
      <c r="D38" s="58" t="s">
        <v>70</v>
      </c>
      <c r="E38" s="53" t="s">
        <v>182</v>
      </c>
      <c r="F38" s="58" t="s">
        <v>86</v>
      </c>
      <c r="G38" s="67" t="s">
        <v>158</v>
      </c>
      <c r="H38" s="58" t="s">
        <v>125</v>
      </c>
      <c r="I38" s="53" t="s">
        <v>183</v>
      </c>
      <c r="J38" s="64" t="s">
        <v>158</v>
      </c>
      <c r="K38" s="76">
        <v>1</v>
      </c>
      <c r="L38" s="72">
        <f t="shared" si="1"/>
        <v>10</v>
      </c>
      <c r="M38" s="38">
        <v>11</v>
      </c>
      <c r="N38" s="39" t="s">
        <v>160</v>
      </c>
      <c r="O38" s="81">
        <v>0.8458</v>
      </c>
      <c r="P38" s="85">
        <f t="shared" si="2"/>
        <v>9.3038000000000007</v>
      </c>
      <c r="Q38" s="85"/>
      <c r="R38" s="85"/>
    </row>
    <row r="39" spans="1:21" ht="25.5" x14ac:dyDescent="0.25">
      <c r="A39" s="1"/>
      <c r="B39" s="49">
        <f t="shared" si="0"/>
        <v>30</v>
      </c>
      <c r="C39" s="52" t="s">
        <v>40</v>
      </c>
      <c r="D39" s="57" t="s">
        <v>71</v>
      </c>
      <c r="E39" s="52" t="s">
        <v>150</v>
      </c>
      <c r="F39" s="57" t="s">
        <v>87</v>
      </c>
      <c r="G39" s="66" t="s">
        <v>158</v>
      </c>
      <c r="H39" s="57" t="s">
        <v>127</v>
      </c>
      <c r="I39" s="52" t="s">
        <v>184</v>
      </c>
      <c r="J39" s="69" t="s">
        <v>158</v>
      </c>
      <c r="K39" s="75">
        <v>1</v>
      </c>
      <c r="L39" s="71">
        <f t="shared" si="1"/>
        <v>10</v>
      </c>
      <c r="M39" s="36">
        <v>11</v>
      </c>
      <c r="N39" s="37" t="s">
        <v>160</v>
      </c>
      <c r="O39" s="80">
        <v>0.2336</v>
      </c>
      <c r="P39" s="84">
        <f t="shared" si="2"/>
        <v>2.5695999999999999</v>
      </c>
      <c r="Q39" s="84"/>
      <c r="R39" s="84"/>
    </row>
    <row r="40" spans="1:21" ht="26.25" thickBot="1" x14ac:dyDescent="0.3">
      <c r="A40" s="1"/>
      <c r="B40" s="50">
        <f>ROW(B40) - ROW($B$9)</f>
        <v>31</v>
      </c>
      <c r="C40" s="54" t="s">
        <v>41</v>
      </c>
      <c r="D40" s="59" t="s">
        <v>72</v>
      </c>
      <c r="E40" s="54" t="s">
        <v>150</v>
      </c>
      <c r="F40" s="101" t="s">
        <v>88</v>
      </c>
      <c r="G40" s="68" t="s">
        <v>210</v>
      </c>
      <c r="H40" s="59" t="s">
        <v>128</v>
      </c>
      <c r="I40" s="68" t="s">
        <v>158</v>
      </c>
      <c r="J40" s="59" t="s">
        <v>148</v>
      </c>
      <c r="K40" s="77">
        <v>1</v>
      </c>
      <c r="L40" s="73">
        <f t="shared" si="1"/>
        <v>10</v>
      </c>
      <c r="M40" s="38">
        <v>11</v>
      </c>
      <c r="N40" s="39" t="s">
        <v>160</v>
      </c>
      <c r="O40" s="81">
        <v>0.22639999999999999</v>
      </c>
      <c r="P40" s="85">
        <f t="shared" si="2"/>
        <v>2.4903999999999997</v>
      </c>
      <c r="Q40" s="91"/>
      <c r="R40" s="85"/>
    </row>
    <row r="41" spans="1:21" ht="19.5" thickBot="1" x14ac:dyDescent="0.3">
      <c r="A41" s="1"/>
      <c r="B41" s="41"/>
      <c r="C41" s="42" t="s">
        <v>5</v>
      </c>
      <c r="D41" s="43"/>
      <c r="E41" s="44"/>
      <c r="F41" s="45"/>
      <c r="G41" s="45"/>
      <c r="H41" s="44"/>
      <c r="I41" s="44"/>
      <c r="J41" s="45"/>
      <c r="K41" s="45"/>
      <c r="L41" s="46"/>
      <c r="M41" s="93" t="s">
        <v>202</v>
      </c>
      <c r="N41" s="93"/>
      <c r="O41" s="93"/>
      <c r="P41" s="86">
        <f>SUM(P10:P40)</f>
        <v>148.35750000000002</v>
      </c>
      <c r="Q41" s="88"/>
      <c r="R41" s="88"/>
    </row>
    <row r="42" spans="1:21" ht="19.5" thickBot="1" x14ac:dyDescent="0.3">
      <c r="A42" s="1"/>
      <c r="B42" s="22"/>
      <c r="C42" s="6" t="s">
        <v>6</v>
      </c>
      <c r="D42" s="7"/>
      <c r="E42" s="7"/>
      <c r="F42" s="7"/>
      <c r="G42" s="7"/>
      <c r="H42" s="7"/>
      <c r="I42" s="7"/>
      <c r="J42" s="7"/>
      <c r="K42" s="7"/>
      <c r="L42" s="47"/>
      <c r="M42" s="98" t="s">
        <v>203</v>
      </c>
      <c r="N42" s="98"/>
      <c r="O42" s="98"/>
      <c r="P42" s="86">
        <f>P41/10</f>
        <v>14.835750000000001</v>
      </c>
      <c r="Q42" s="89"/>
      <c r="R42" s="89"/>
    </row>
    <row r="43" spans="1:21" ht="19.5" thickBot="1" x14ac:dyDescent="0.3">
      <c r="M43" s="92" t="s">
        <v>204</v>
      </c>
      <c r="N43" s="93"/>
      <c r="O43" s="93"/>
      <c r="P43" s="86">
        <v>3.16</v>
      </c>
      <c r="Q43" s="89"/>
      <c r="R43" s="89"/>
    </row>
    <row r="44" spans="1:21" ht="19.5" thickBot="1" x14ac:dyDescent="0.3">
      <c r="M44" s="92" t="s">
        <v>205</v>
      </c>
      <c r="N44" s="93"/>
      <c r="O44" s="93"/>
      <c r="P44" s="87">
        <f>SUM(P42:P43)</f>
        <v>17.995750000000001</v>
      </c>
      <c r="Q44" s="90"/>
      <c r="R44" s="90"/>
    </row>
  </sheetData>
  <mergeCells count="8">
    <mergeCell ref="J1:L1"/>
    <mergeCell ref="L2:M2"/>
    <mergeCell ref="M44:O44"/>
    <mergeCell ref="R3:R8"/>
    <mergeCell ref="P2:R2"/>
    <mergeCell ref="M41:O41"/>
    <mergeCell ref="M42:O42"/>
    <mergeCell ref="M43:O43"/>
  </mergeCells>
  <hyperlinks>
    <hyperlink ref="N10" r:id="rId1" xr:uid="{D40B14C7-1C56-4DA6-B8AA-C5629A2D0181}"/>
    <hyperlink ref="N11" r:id="rId2" xr:uid="{F2AE788C-2F1C-46C0-AA74-E9855888E589}"/>
    <hyperlink ref="N12" r:id="rId3" xr:uid="{50F8AF47-7B2D-453B-B604-A9E6E330A6DE}"/>
    <hyperlink ref="N13" r:id="rId4" xr:uid="{91DB423E-1E84-4575-A254-495A8C2A72C7}"/>
    <hyperlink ref="N14" r:id="rId5" xr:uid="{5D97E4CD-902B-46A2-9B3B-B15DB6820C8C}"/>
    <hyperlink ref="N15" r:id="rId6" xr:uid="{2E775539-906B-4179-89F8-DE620B7E5B40}"/>
    <hyperlink ref="N16" r:id="rId7" xr:uid="{4F5A2672-2E29-4022-B999-07225DE51A94}"/>
    <hyperlink ref="N18" r:id="rId8" xr:uid="{B662F39D-A233-448A-825B-1DB506E1FB5D}"/>
    <hyperlink ref="N23" r:id="rId9" xr:uid="{6E039F18-AFCA-4A29-92EC-785BEEFD9EA6}"/>
    <hyperlink ref="N25" r:id="rId10" xr:uid="{0A0BD431-8895-4A11-992F-B2F295C32C93}"/>
    <hyperlink ref="N28" r:id="rId11" xr:uid="{B608BFA5-3DA0-4ABE-BF24-8B3433741BD2}"/>
    <hyperlink ref="N29" r:id="rId12" xr:uid="{5C888BF9-266F-4B24-B07D-ED2866926086}"/>
    <hyperlink ref="N30" r:id="rId13" xr:uid="{70962410-828C-4B23-97D4-96B8763784FF}"/>
    <hyperlink ref="N31" r:id="rId14" xr:uid="{F8395AC9-9341-42F7-92D2-35F4E4D5FDA0}"/>
    <hyperlink ref="N32" r:id="rId15" xr:uid="{797BDEF1-E06B-4EDB-954C-039D2F85C1A1}"/>
    <hyperlink ref="N33" r:id="rId16" xr:uid="{AF1FCEF7-4D2D-4F32-96FE-69FBCC8BD2F7}"/>
    <hyperlink ref="N35" r:id="rId17" xr:uid="{8DE90BC3-A79B-4461-9C1B-6C15840346EB}"/>
    <hyperlink ref="N37" r:id="rId18" xr:uid="{F2FED3FF-375F-494E-B9B7-D48AED7C2F8A}"/>
    <hyperlink ref="N38" r:id="rId19" xr:uid="{FDECF396-A243-431B-BE9C-184B9C62F71F}"/>
    <hyperlink ref="N39" r:id="rId20" xr:uid="{3DCD7192-D4A4-4355-AE14-169E6DF9231F}"/>
    <hyperlink ref="N21" r:id="rId21" xr:uid="{52A7D1B2-440E-4453-9E99-3D13C1743003}"/>
    <hyperlink ref="N20" r:id="rId22" xr:uid="{2CE31419-5C69-4837-BA05-2DFCF3CFD556}"/>
    <hyperlink ref="N24" r:id="rId23" xr:uid="{6D1D9E0D-337C-4A16-9971-616C5396C3D3}"/>
    <hyperlink ref="N26" r:id="rId24" xr:uid="{55DD85C1-58E5-4C9F-9AC9-5EC55A848B4D}"/>
    <hyperlink ref="N27" r:id="rId25" xr:uid="{B84E24E3-B019-4431-BE23-3E81EFD964D3}"/>
    <hyperlink ref="N19" r:id="rId26" xr:uid="{13475D7A-3A1C-4BA0-AF26-5D65B57DD1B1}"/>
    <hyperlink ref="N36" r:id="rId27" xr:uid="{0485072C-3830-4C7C-AC40-BFF0596D533E}"/>
    <hyperlink ref="N17" r:id="rId28" xr:uid="{23B04B83-DB52-4B14-810B-F39405B68FBC}"/>
    <hyperlink ref="N40" r:id="rId29" xr:uid="{6E69C002-2834-44C3-81A7-66E9B4F73185}"/>
  </hyperlinks>
  <pageMargins left="0.7" right="0.7" top="0.75" bottom="0.75" header="0.3" footer="0.3"/>
  <pageSetup paperSize="9" orientation="portrait" r:id="rId30"/>
  <drawing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2022-06-03T14:07:22Z</dcterms:modified>
</cp:coreProperties>
</file>