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JohnWollam-LCDProject\Deliverables\BOM\"/>
    </mc:Choice>
  </mc:AlternateContent>
  <xr:revisionPtr revIDLastSave="0" documentId="13_ncr:1_{5C4283D2-F5CD-46E9-A4C2-92E47DEC17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0" i="2" l="1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</calcChain>
</file>

<file path=xl/sharedStrings.xml><?xml version="1.0" encoding="utf-8"?>
<sst xmlns="http://schemas.openxmlformats.org/spreadsheetml/2006/main" count="271" uniqueCount="209">
  <si>
    <t>Component list</t>
  </si>
  <si>
    <t>Source Data From:</t>
  </si>
  <si>
    <t>Project:</t>
  </si>
  <si>
    <t>Variant:</t>
  </si>
  <si>
    <t>#</t>
  </si>
  <si>
    <t>Approved</t>
  </si>
  <si>
    <t>Notes</t>
  </si>
  <si>
    <t>None</t>
  </si>
  <si>
    <t>Designator</t>
  </si>
  <si>
    <t>C17</t>
  </si>
  <si>
    <t>J1</t>
  </si>
  <si>
    <t>J3</t>
  </si>
  <si>
    <t>J4</t>
  </si>
  <si>
    <t>L1</t>
  </si>
  <si>
    <t>U1</t>
  </si>
  <si>
    <t>U2</t>
  </si>
  <si>
    <t>U3</t>
  </si>
  <si>
    <t>Description</t>
  </si>
  <si>
    <t>Solder Bridge ON</t>
  </si>
  <si>
    <t>Footprint</t>
  </si>
  <si>
    <t>Cap0603</t>
  </si>
  <si>
    <t>SOT-23</t>
  </si>
  <si>
    <t>Manufacturer Part Number</t>
  </si>
  <si>
    <t>Manufacturer</t>
  </si>
  <si>
    <t>Murata</t>
  </si>
  <si>
    <t>Yageo</t>
  </si>
  <si>
    <t>Taiyo Yuden</t>
  </si>
  <si>
    <t>Texas Instruments</t>
  </si>
  <si>
    <t>STMicroelectronics</t>
  </si>
  <si>
    <t>0.1uF</t>
  </si>
  <si>
    <t>20pF</t>
  </si>
  <si>
    <t>4.7uF</t>
  </si>
  <si>
    <t>1uF</t>
  </si>
  <si>
    <t>10K</t>
  </si>
  <si>
    <t>Custom</t>
  </si>
  <si>
    <t>Wurth Electronics</t>
  </si>
  <si>
    <t>UNI-ROYAL</t>
  </si>
  <si>
    <t>Remarks</t>
  </si>
  <si>
    <t>Capacitor</t>
  </si>
  <si>
    <t>Connector</t>
  </si>
  <si>
    <t>Inductor</t>
  </si>
  <si>
    <t>Resistor</t>
  </si>
  <si>
    <t>Crystal</t>
  </si>
  <si>
    <t xml:space="preserve"> Item Type</t>
  </si>
  <si>
    <t>C1, C2, C3, C6, C9, C10</t>
  </si>
  <si>
    <t>CAP CER 0.1UF 50V Y5V 0603</t>
  </si>
  <si>
    <t>Cap-0603</t>
  </si>
  <si>
    <t>C4, C5</t>
  </si>
  <si>
    <t>CAP CER 20PF 50V C0G/NPO 0603</t>
  </si>
  <si>
    <t>C7, C13</t>
  </si>
  <si>
    <t>CAP CER 1UF 50V X7R 0603</t>
  </si>
  <si>
    <t>C8</t>
  </si>
  <si>
    <t>CAP CER 10000PF 50V X7R 0603</t>
  </si>
  <si>
    <t>C11, C14</t>
  </si>
  <si>
    <t>CAP CER 4.7UF 25V X5R 0603</t>
  </si>
  <si>
    <t>C15</t>
  </si>
  <si>
    <t>CAP CER 470pF 10% X7R 50V 0603 SMD</t>
  </si>
  <si>
    <t>C16</t>
  </si>
  <si>
    <t>CAP TANT 100UF 20% 25V 2917</t>
  </si>
  <si>
    <t>Case-E</t>
  </si>
  <si>
    <t>470uF ±20% 50V 12.5mm 13.5mm 1000hrs 105℃ -40℃~+105℃ SMD,12.5x13.5mm Aluminum Electrolytic Capacitors - SMD RoHS</t>
  </si>
  <si>
    <t>Diode</t>
  </si>
  <si>
    <t>D1, D2</t>
  </si>
  <si>
    <t>DIODE GEN PURP 75V 150MA SOD323</t>
  </si>
  <si>
    <t>SOD-323</t>
  </si>
  <si>
    <t>D3</t>
  </si>
  <si>
    <t>40V 500mV@2A 2A SMA(DO-214AC) Schottky Barrier Diodes (SBD) ROHS</t>
  </si>
  <si>
    <t>SMA</t>
  </si>
  <si>
    <t>Header</t>
  </si>
  <si>
    <t>TERM BLK 10P SIDE ENT 5.08MM PCB</t>
  </si>
  <si>
    <t>2.5 18A Green Straight pin 5.08mm 1 14~30 2 Straight,P=5.08mm</t>
  </si>
  <si>
    <t>CONN HDR 16POS 0.1 GOLD PCB</t>
  </si>
  <si>
    <t>Inductor Power Shielded Wirewound 220uH 20% 1KHz Ferrite 1.3A 310mOhm DCR Blister T/R</t>
  </si>
  <si>
    <t>P1</t>
  </si>
  <si>
    <t>CONN HEADER VERT 3POS 2.54MM</t>
  </si>
  <si>
    <t>Mosfet</t>
  </si>
  <si>
    <t>Q2, Q4, Q5, Q6, Q7, Q8</t>
  </si>
  <si>
    <t>MOSFET N-CH 50V 200MA SOT-23</t>
  </si>
  <si>
    <t>R1, R2</t>
  </si>
  <si>
    <t>RES SMD 50K OHM 0.1% 0.15W 0603</t>
  </si>
  <si>
    <t>Res-0603</t>
  </si>
  <si>
    <t>R4</t>
  </si>
  <si>
    <t>RES SMD 3.6 OHM 1% 1/4W 1206</t>
  </si>
  <si>
    <t>Res-1206</t>
  </si>
  <si>
    <t>R6, R7, R8, R9, R10, R11, R12, R13, R14, R15, R17</t>
  </si>
  <si>
    <t>RES 20K OHM 1% 1/10W 0603</t>
  </si>
  <si>
    <t>R18, R20, R21, R22, R23, R24, R25, R26, R27, R28, R29, R30, R31</t>
  </si>
  <si>
    <t>RES SMD 10K Ohm 1% 1/10W 0603</t>
  </si>
  <si>
    <t>R19</t>
  </si>
  <si>
    <t>RES 56K OHM 1% 1/10W 0603</t>
  </si>
  <si>
    <t>R32</t>
  </si>
  <si>
    <t>±1% 1/10W Thick Film Resistors 75V ±600ppm/℃ -55℃~+155℃ 0.33Ω 0603 Chip Resistor - Surface Mount ROHS</t>
  </si>
  <si>
    <t>R33</t>
  </si>
  <si>
    <t>100mW Thin Film Resistor 100V 3.75kΩ 0805 Chip Resistor</t>
  </si>
  <si>
    <t>RES-0805</t>
  </si>
  <si>
    <t>R34</t>
  </si>
  <si>
    <t>±1% 1/10W Thick Film Resistors 75V ±100ppm/℃ -55℃~+155℃ 1.2kΩ 0603 Chip Resistor - Surface Mount ROHS</t>
  </si>
  <si>
    <t>Solder Brigde</t>
  </si>
  <si>
    <t>SB1</t>
  </si>
  <si>
    <t>SWITCH</t>
  </si>
  <si>
    <t>SW1</t>
  </si>
  <si>
    <t>SWITCH TACTILE SPST-NO 0.05A 12V</t>
  </si>
  <si>
    <t>IC</t>
  </si>
  <si>
    <t>IC MCU 32BIT 128KB FLASH 48LQFP</t>
  </si>
  <si>
    <t>48-LQFP (7x7)_</t>
  </si>
  <si>
    <t>IC REG LINEAR 3.3V 1.2A SOT223</t>
  </si>
  <si>
    <t>SOT- 223</t>
  </si>
  <si>
    <t>IC REG BUCK BST ADJ 1.5A 8SOIC</t>
  </si>
  <si>
    <t>SOIC-8</t>
  </si>
  <si>
    <t>USB1</t>
  </si>
  <si>
    <t>CONN RCPT USB2.0 MICRO B SMD R/A</t>
  </si>
  <si>
    <t>X1</t>
  </si>
  <si>
    <t>CRYSTAL 8.0000MHZ 18PF SMD</t>
  </si>
  <si>
    <t>CC0603ZRY5V9BB104</t>
  </si>
  <si>
    <t>CC0603JRNPO9BN200</t>
  </si>
  <si>
    <t>UMK107AB7105KA-T</t>
  </si>
  <si>
    <t>CC0603KRX7R9BB103</t>
  </si>
  <si>
    <t>GRM188R61E475KE11D</t>
  </si>
  <si>
    <t>CC0603KRX7R9BB471</t>
  </si>
  <si>
    <t>TAJE107M025RNJ</t>
  </si>
  <si>
    <t>Kyocera AVX</t>
  </si>
  <si>
    <t>VT1H471MI135000CE0</t>
  </si>
  <si>
    <t>Changzhou Huawei Elec</t>
  </si>
  <si>
    <t>1N4148WS-7-F</t>
  </si>
  <si>
    <t>Diodes</t>
  </si>
  <si>
    <t>SS24A</t>
  </si>
  <si>
    <t>Guangdong Hottech</t>
  </si>
  <si>
    <t>On-Shore Technology</t>
  </si>
  <si>
    <t>WJ500V-5.08-2P</t>
  </si>
  <si>
    <t>Ningbo Kangnex Elec</t>
  </si>
  <si>
    <t>Sullins</t>
  </si>
  <si>
    <t>SLF12575T-221M1R3-PF</t>
  </si>
  <si>
    <t>TDK</t>
  </si>
  <si>
    <t>ON Semiconductor</t>
  </si>
  <si>
    <t>Vishay Dale Thin Film</t>
  </si>
  <si>
    <t>Vishay Dale</t>
  </si>
  <si>
    <t>RC0603FR-0720KL</t>
  </si>
  <si>
    <t>RC0603FR-0710KL</t>
  </si>
  <si>
    <t>RC0603FR-0756KL</t>
  </si>
  <si>
    <t>RTT03R330FTP</t>
  </si>
  <si>
    <t>RALEC</t>
  </si>
  <si>
    <t>AR05BTB3751A010</t>
  </si>
  <si>
    <t>Viking Tech</t>
  </si>
  <si>
    <t>0603WAF1201T5E</t>
  </si>
  <si>
    <t>-</t>
  </si>
  <si>
    <t>TL3301NF160QG/TR</t>
  </si>
  <si>
    <t>E-Switch</t>
  </si>
  <si>
    <t>STM32F070CBT6TR</t>
  </si>
  <si>
    <t>LDL1117S33R</t>
  </si>
  <si>
    <t>MC34063ADR</t>
  </si>
  <si>
    <t>10118192-0001LF</t>
  </si>
  <si>
    <t>Amphenol FCI</t>
  </si>
  <si>
    <t>TXC</t>
  </si>
  <si>
    <t xml:space="preserve"> LCSC/Part Number</t>
  </si>
  <si>
    <t>Value</t>
  </si>
  <si>
    <t>C106221</t>
  </si>
  <si>
    <t>C105621</t>
  </si>
  <si>
    <t>C105174</t>
  </si>
  <si>
    <t>C100042</t>
  </si>
  <si>
    <t>10000pF</t>
  </si>
  <si>
    <t>C90057</t>
  </si>
  <si>
    <t>C107092</t>
  </si>
  <si>
    <t>470pF</t>
  </si>
  <si>
    <t>C7230</t>
  </si>
  <si>
    <t>100uF</t>
  </si>
  <si>
    <t>C191227</t>
  </si>
  <si>
    <t>470uF</t>
  </si>
  <si>
    <t>C60580</t>
  </si>
  <si>
    <t>C2886579</t>
  </si>
  <si>
    <t>C409141</t>
  </si>
  <si>
    <t>C8465</t>
  </si>
  <si>
    <t>C2897379</t>
  </si>
  <si>
    <t>C93225</t>
  </si>
  <si>
    <t>220uH</t>
  </si>
  <si>
    <t>C2937625</t>
  </si>
  <si>
    <t>C8490</t>
  </si>
  <si>
    <t>C304067</t>
  </si>
  <si>
    <t>50K</t>
  </si>
  <si>
    <t>C246070</t>
  </si>
  <si>
    <t>3.6R</t>
  </si>
  <si>
    <t>C105575</t>
  </si>
  <si>
    <t>20K</t>
  </si>
  <si>
    <t>C98220</t>
  </si>
  <si>
    <t>C114630</t>
  </si>
  <si>
    <t>56K</t>
  </si>
  <si>
    <t>C103893</t>
  </si>
  <si>
    <t>0.33R</t>
  </si>
  <si>
    <t>C374641</t>
  </si>
  <si>
    <t>3.75K</t>
  </si>
  <si>
    <t>C22765</t>
  </si>
  <si>
    <t>1.2K</t>
  </si>
  <si>
    <t>C273526</t>
  </si>
  <si>
    <t>C2053863</t>
  </si>
  <si>
    <t>C435835</t>
  </si>
  <si>
    <t>C100023</t>
  </si>
  <si>
    <t>C132564</t>
  </si>
  <si>
    <t>C2149247</t>
  </si>
  <si>
    <t>8MHZ</t>
  </si>
  <si>
    <t xml:space="preserve"> Quantity (25 Boards)</t>
  </si>
  <si>
    <t xml:space="preserve"> MOQ (25 Boards)</t>
  </si>
  <si>
    <t xml:space="preserve">Bill of Materials for Project [John Wollam] </t>
  </si>
  <si>
    <t>John Wollam</t>
  </si>
  <si>
    <t>JL301-50010U02</t>
  </si>
  <si>
    <t>PM254-1-16-Z-8.5</t>
  </si>
  <si>
    <t>PZ254V-11-03P</t>
  </si>
  <si>
    <t>LBSS138LT1G</t>
  </si>
  <si>
    <t>AR03BTC5002A</t>
  </si>
  <si>
    <t>RC1206JR-073R6L</t>
  </si>
  <si>
    <t>5TJ480000XYLBC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</si>
</sst>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2"/>
      <color indexed="13"/>
      <name val="Arial"/>
      <family val="2"/>
    </font>
    <font>
      <b/>
      <strike/>
      <sz val="10"/>
      <color rgb="FFFF000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sz val="9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/>
    <xf numFmtId="0" fontId="6" fillId="3" borderId="11" xfId="0" applyFont="1" applyFill="1" applyBorder="1" applyAlignment="1">
      <alignment vertical="center"/>
    </xf>
    <xf numFmtId="0" fontId="7" fillId="3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9" fillId="3" borderId="0" xfId="0" applyFont="1" applyFill="1"/>
    <xf numFmtId="0" fontId="10" fillId="3" borderId="3" xfId="0" applyFont="1" applyFill="1" applyBorder="1" applyAlignment="1" applyProtection="1">
      <alignment horizontal="left" vertical="top"/>
      <protection locked="0"/>
    </xf>
    <xf numFmtId="0" fontId="11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/>
    <xf numFmtId="0" fontId="12" fillId="3" borderId="6" xfId="0" applyFont="1" applyFill="1" applyBorder="1"/>
    <xf numFmtId="0" fontId="12" fillId="3" borderId="5" xfId="0" applyFont="1" applyFill="1" applyBorder="1"/>
    <xf numFmtId="0" fontId="10" fillId="3" borderId="5" xfId="0" applyFont="1" applyFill="1" applyBorder="1"/>
    <xf numFmtId="0" fontId="12" fillId="3" borderId="5" xfId="0" applyFont="1" applyFill="1" applyBorder="1" applyAlignment="1">
      <alignment horizontal="left"/>
    </xf>
    <xf numFmtId="0" fontId="15" fillId="3" borderId="0" xfId="0" applyFont="1" applyFill="1"/>
    <xf numFmtId="0" fontId="12" fillId="3" borderId="1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4" xfId="0" applyFont="1" applyFill="1" applyBorder="1" applyAlignment="1" applyProtection="1">
      <alignment horizontal="center" vertical="top"/>
      <protection locked="0"/>
    </xf>
    <xf numFmtId="0" fontId="16" fillId="0" borderId="13" xfId="0" applyFont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/>
    <xf numFmtId="164" fontId="12" fillId="3" borderId="0" xfId="0" applyNumberFormat="1" applyFont="1" applyFill="1" applyAlignment="1">
      <alignment horizontal="left"/>
    </xf>
    <xf numFmtId="0" fontId="16" fillId="0" borderId="17" xfId="0" applyFont="1" applyBorder="1" applyAlignment="1">
      <alignment horizontal="center" vertical="center"/>
    </xf>
    <xf numFmtId="0" fontId="10" fillId="3" borderId="9" xfId="0" applyFont="1" applyFill="1" applyBorder="1" applyAlignment="1" applyProtection="1">
      <alignment horizontal="center" vertical="center"/>
      <protection locked="0"/>
    </xf>
    <xf numFmtId="0" fontId="10" fillId="3" borderId="10" xfId="0" applyFont="1" applyFill="1" applyBorder="1" applyAlignment="1" applyProtection="1">
      <alignment vertical="center"/>
      <protection locked="0"/>
    </xf>
    <xf numFmtId="0" fontId="11" fillId="3" borderId="10" xfId="0" applyFont="1" applyFill="1" applyBorder="1" applyAlignment="1" applyProtection="1">
      <alignment horizontal="left" vertical="center"/>
      <protection locked="0"/>
    </xf>
    <xf numFmtId="0" fontId="16" fillId="3" borderId="10" xfId="0" applyFont="1" applyFill="1" applyBorder="1" applyAlignment="1">
      <alignment vertical="center"/>
    </xf>
    <xf numFmtId="0" fontId="17" fillId="5" borderId="1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vertical="center"/>
    </xf>
    <xf numFmtId="0" fontId="0" fillId="0" borderId="0" xfId="0" applyAlignment="1">
      <alignment wrapText="1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10" fillId="3" borderId="10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top"/>
      <protection locked="0"/>
    </xf>
    <xf numFmtId="0" fontId="10" fillId="5" borderId="16" xfId="0" applyFont="1" applyFill="1" applyBorder="1" applyAlignment="1">
      <alignment horizontal="center" vertical="center" wrapText="1"/>
    </xf>
    <xf numFmtId="0" fontId="20" fillId="2" borderId="13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4" borderId="20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wrapText="1"/>
    </xf>
    <xf numFmtId="0" fontId="18" fillId="4" borderId="21" xfId="0" applyFont="1" applyFill="1" applyBorder="1" applyAlignment="1">
      <alignment horizontal="center" wrapText="1"/>
    </xf>
    <xf numFmtId="0" fontId="18" fillId="2" borderId="21" xfId="0" applyFont="1" applyFill="1" applyBorder="1" applyAlignment="1">
      <alignment horizontal="center" wrapText="1"/>
    </xf>
    <xf numFmtId="0" fontId="22" fillId="2" borderId="21" xfId="0" applyFont="1" applyFill="1" applyBorder="1" applyAlignment="1">
      <alignment horizontal="center" vertical="center"/>
    </xf>
    <xf numFmtId="0" fontId="22" fillId="4" borderId="21" xfId="0" applyFont="1" applyFill="1" applyBorder="1" applyAlignment="1">
      <alignment horizontal="center" vertical="center"/>
    </xf>
    <xf numFmtId="0" fontId="22" fillId="0" borderId="21" xfId="0" applyFont="1" applyBorder="1" applyAlignment="1">
      <alignment horizontal="center"/>
    </xf>
    <xf numFmtId="0" fontId="22" fillId="4" borderId="21" xfId="0" applyFont="1" applyFill="1" applyBorder="1" applyAlignment="1">
      <alignment horizontal="center"/>
    </xf>
    <xf numFmtId="0" fontId="21" fillId="2" borderId="21" xfId="0" applyFont="1" applyFill="1" applyBorder="1" applyAlignment="1">
      <alignment horizontal="center" wrapText="1"/>
    </xf>
    <xf numFmtId="0" fontId="22" fillId="0" borderId="23" xfId="0" applyFont="1" applyBorder="1" applyAlignment="1">
      <alignment horizontal="center"/>
    </xf>
    <xf numFmtId="0" fontId="14" fillId="3" borderId="24" xfId="0" quotePrefix="1" applyFont="1" applyFill="1" applyBorder="1" applyAlignment="1">
      <alignment vertical="center"/>
    </xf>
    <xf numFmtId="0" fontId="10" fillId="3" borderId="0" xfId="0" quotePrefix="1" applyFont="1" applyFill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22" fillId="2" borderId="21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9" fillId="3" borderId="11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3" borderId="3" xfId="0" applyFont="1" applyFill="1" applyBorder="1" applyAlignment="1">
      <alignment horizontal="center"/>
    </xf>
    <xf numFmtId="0" fontId="16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9525</xdr:colOff>
      <xdr:row>2</xdr:row>
      <xdr:rowOff>10417</xdr:rowOff>
    </xdr:from>
    <xdr:ext cx="1714500" cy="1104008"/>
    <xdr:pic>
      <xdr:nvPicPr>
        <xdr:cNvPr id="3" name="Picture 2">
          <a:extLst>
            <a:ext uri="{FF2B5EF4-FFF2-40B4-BE49-F238E27FC236}">
              <a16:creationId xmlns:a16="http://schemas.microsoft.com/office/drawing/2014/main" id="{09969436-8A94-45CE-BB95-34EF24CD6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230225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42"/>
  <sheetViews>
    <sheetView tabSelected="1" topLeftCell="A31" workbookViewId="0">
      <selection activeCell="E51" sqref="E51"/>
    </sheetView>
  </sheetViews>
  <sheetFormatPr defaultRowHeight="15" x14ac:dyDescent="0.25"/>
  <cols>
    <col min="2" max="2" width="3" bestFit="1" customWidth="1"/>
    <col min="3" max="3" width="11.28515625" customWidth="1"/>
    <col min="4" max="4" width="31.140625" bestFit="1" customWidth="1"/>
    <col min="5" max="5" width="36.140625" customWidth="1"/>
    <col min="6" max="6" width="20.85546875" customWidth="1"/>
    <col min="7" max="7" width="25.28515625" bestFit="1" customWidth="1"/>
    <col min="8" max="8" width="19.7109375" bestFit="1" customWidth="1"/>
    <col min="9" max="9" width="18" bestFit="1" customWidth="1"/>
    <col min="10" max="10" width="7.140625" bestFit="1" customWidth="1"/>
    <col min="11" max="11" width="19.7109375" bestFit="1" customWidth="1"/>
    <col min="12" max="12" width="16.5703125" bestFit="1" customWidth="1"/>
    <col min="13" max="13" width="26.28515625" customWidth="1"/>
  </cols>
  <sheetData>
    <row r="1" spans="2:13" ht="15.75" thickBot="1" x14ac:dyDescent="0.3">
      <c r="I1" s="1"/>
    </row>
    <row r="2" spans="2:13" ht="32.25" thickBot="1" x14ac:dyDescent="0.3">
      <c r="B2" s="35"/>
      <c r="C2" s="38"/>
      <c r="D2" s="36" t="s">
        <v>0</v>
      </c>
      <c r="E2" s="36"/>
      <c r="F2" s="69" t="s">
        <v>200</v>
      </c>
      <c r="G2" s="9"/>
      <c r="H2" s="2"/>
      <c r="I2" s="2"/>
      <c r="J2" s="2"/>
      <c r="K2" s="77"/>
      <c r="L2" s="77"/>
      <c r="M2" s="78"/>
    </row>
    <row r="3" spans="2:13" x14ac:dyDescent="0.25">
      <c r="B3" s="17"/>
      <c r="C3" s="39"/>
      <c r="D3" s="10" t="s">
        <v>1</v>
      </c>
      <c r="E3" s="10"/>
      <c r="F3" s="70" t="s">
        <v>201</v>
      </c>
      <c r="G3" s="10"/>
      <c r="H3" s="3"/>
      <c r="I3" s="3"/>
      <c r="J3" s="3"/>
      <c r="K3" s="3"/>
      <c r="L3" s="3"/>
      <c r="M3" s="75"/>
    </row>
    <row r="4" spans="2:13" x14ac:dyDescent="0.25">
      <c r="B4" s="17"/>
      <c r="C4" s="39"/>
      <c r="D4" s="10" t="s">
        <v>2</v>
      </c>
      <c r="E4" s="10"/>
      <c r="F4" s="71" t="s">
        <v>201</v>
      </c>
      <c r="G4" s="11"/>
      <c r="H4" s="5"/>
      <c r="I4" s="5"/>
      <c r="J4" s="5"/>
      <c r="K4" s="5"/>
      <c r="L4" s="5"/>
      <c r="M4" s="76"/>
    </row>
    <row r="5" spans="2:13" x14ac:dyDescent="0.25">
      <c r="B5" s="17"/>
      <c r="C5" s="39"/>
      <c r="D5" s="10" t="s">
        <v>3</v>
      </c>
      <c r="E5" s="10"/>
      <c r="F5" s="72" t="s">
        <v>7</v>
      </c>
      <c r="G5" s="12"/>
      <c r="H5" s="4"/>
      <c r="I5" s="4"/>
      <c r="J5" s="4"/>
      <c r="K5" s="4"/>
      <c r="L5" s="4"/>
      <c r="M5" s="76"/>
    </row>
    <row r="6" spans="2:13" x14ac:dyDescent="0.25">
      <c r="B6" s="18"/>
      <c r="C6" s="40"/>
      <c r="D6" s="13"/>
      <c r="E6" s="13"/>
      <c r="F6" s="14"/>
      <c r="G6" s="12"/>
      <c r="H6" s="4"/>
      <c r="I6" s="4"/>
      <c r="J6" s="4"/>
      <c r="K6" s="4"/>
      <c r="L6" s="4"/>
      <c r="M6" s="76"/>
    </row>
    <row r="7" spans="2:13" x14ac:dyDescent="0.25">
      <c r="B7" s="19"/>
      <c r="C7" s="41"/>
      <c r="D7" s="15"/>
      <c r="E7" s="15"/>
      <c r="F7" s="16"/>
      <c r="G7" s="15"/>
      <c r="H7" s="6"/>
      <c r="I7" s="6"/>
      <c r="J7" s="6"/>
      <c r="K7" s="6"/>
      <c r="L7" s="6"/>
      <c r="M7" s="76"/>
    </row>
    <row r="8" spans="2:13" ht="15.75" thickBot="1" x14ac:dyDescent="0.3">
      <c r="B8" s="26"/>
      <c r="C8" s="42"/>
      <c r="D8" s="27"/>
      <c r="E8" s="27"/>
      <c r="F8" s="28"/>
      <c r="G8" s="15"/>
      <c r="H8" s="6"/>
      <c r="I8" s="6"/>
      <c r="J8" s="6"/>
      <c r="K8" s="6"/>
      <c r="L8" s="6"/>
      <c r="M8" s="76"/>
    </row>
    <row r="9" spans="2:13" ht="15.75" thickBot="1" x14ac:dyDescent="0.3">
      <c r="B9" s="23" t="s">
        <v>4</v>
      </c>
      <c r="C9" s="34" t="s">
        <v>43</v>
      </c>
      <c r="D9" s="23" t="s">
        <v>8</v>
      </c>
      <c r="E9" s="24" t="s">
        <v>17</v>
      </c>
      <c r="F9" s="23" t="s">
        <v>19</v>
      </c>
      <c r="G9" s="24" t="s">
        <v>22</v>
      </c>
      <c r="H9" s="23" t="s">
        <v>23</v>
      </c>
      <c r="I9" s="23" t="s">
        <v>153</v>
      </c>
      <c r="J9" s="23" t="s">
        <v>154</v>
      </c>
      <c r="K9" s="23" t="s">
        <v>198</v>
      </c>
      <c r="L9" s="23" t="s">
        <v>199</v>
      </c>
      <c r="M9" s="23" t="s">
        <v>37</v>
      </c>
    </row>
    <row r="10" spans="2:13" s="37" customFormat="1" ht="15.75" thickBot="1" x14ac:dyDescent="0.3">
      <c r="B10" s="45">
        <f>ROW(B10) - ROW($B$9)</f>
        <v>1</v>
      </c>
      <c r="C10" s="47" t="s">
        <v>38</v>
      </c>
      <c r="D10" s="48" t="s">
        <v>44</v>
      </c>
      <c r="E10" s="48" t="s">
        <v>45</v>
      </c>
      <c r="F10" s="48" t="s">
        <v>46</v>
      </c>
      <c r="G10" s="48" t="s">
        <v>113</v>
      </c>
      <c r="H10" s="48" t="s">
        <v>25</v>
      </c>
      <c r="I10" s="60" t="s">
        <v>155</v>
      </c>
      <c r="J10" s="48" t="s">
        <v>29</v>
      </c>
      <c r="K10" s="48">
        <v>150</v>
      </c>
      <c r="L10" s="48">
        <v>200</v>
      </c>
      <c r="M10" s="29"/>
    </row>
    <row r="11" spans="2:13" ht="15.75" thickBot="1" x14ac:dyDescent="0.3">
      <c r="B11" s="45">
        <f t="shared" ref="B11:B39" si="0">ROW(B11) - ROW($B$9)</f>
        <v>2</v>
      </c>
      <c r="C11" s="49" t="s">
        <v>38</v>
      </c>
      <c r="D11" s="50" t="s">
        <v>47</v>
      </c>
      <c r="E11" s="50" t="s">
        <v>48</v>
      </c>
      <c r="F11" s="50" t="s">
        <v>46</v>
      </c>
      <c r="G11" s="50" t="s">
        <v>114</v>
      </c>
      <c r="H11" s="50" t="s">
        <v>25</v>
      </c>
      <c r="I11" s="61" t="s">
        <v>156</v>
      </c>
      <c r="J11" s="50" t="s">
        <v>30</v>
      </c>
      <c r="K11" s="50">
        <v>50</v>
      </c>
      <c r="L11" s="50">
        <v>100</v>
      </c>
      <c r="M11" s="22"/>
    </row>
    <row r="12" spans="2:13" ht="15.75" thickBot="1" x14ac:dyDescent="0.3">
      <c r="B12" s="45">
        <f>ROW(B12) - ROW($B$9)</f>
        <v>3</v>
      </c>
      <c r="C12" s="51" t="s">
        <v>38</v>
      </c>
      <c r="D12" s="52" t="s">
        <v>49</v>
      </c>
      <c r="E12" s="52" t="s">
        <v>50</v>
      </c>
      <c r="F12" s="52" t="s">
        <v>46</v>
      </c>
      <c r="G12" s="52" t="s">
        <v>115</v>
      </c>
      <c r="H12" s="52" t="s">
        <v>26</v>
      </c>
      <c r="I12" s="62" t="s">
        <v>157</v>
      </c>
      <c r="J12" s="52" t="s">
        <v>32</v>
      </c>
      <c r="K12" s="52">
        <v>50</v>
      </c>
      <c r="L12" s="52">
        <v>60</v>
      </c>
      <c r="M12" s="21"/>
    </row>
    <row r="13" spans="2:13" ht="15.75" thickBot="1" x14ac:dyDescent="0.3">
      <c r="B13" s="45">
        <f t="shared" si="0"/>
        <v>4</v>
      </c>
      <c r="C13" s="49" t="s">
        <v>38</v>
      </c>
      <c r="D13" s="50" t="s">
        <v>51</v>
      </c>
      <c r="E13" s="50" t="s">
        <v>52</v>
      </c>
      <c r="F13" s="50" t="s">
        <v>20</v>
      </c>
      <c r="G13" s="50" t="s">
        <v>116</v>
      </c>
      <c r="H13" s="50" t="s">
        <v>25</v>
      </c>
      <c r="I13" s="61" t="s">
        <v>158</v>
      </c>
      <c r="J13" s="50" t="s">
        <v>159</v>
      </c>
      <c r="K13" s="50">
        <v>25</v>
      </c>
      <c r="L13" s="50">
        <v>100</v>
      </c>
      <c r="M13" s="22"/>
    </row>
    <row r="14" spans="2:13" ht="15.75" thickBot="1" x14ac:dyDescent="0.3">
      <c r="B14" s="45">
        <f>ROW(B14) - ROW($B$9)</f>
        <v>5</v>
      </c>
      <c r="C14" s="51" t="s">
        <v>38</v>
      </c>
      <c r="D14" s="52" t="s">
        <v>53</v>
      </c>
      <c r="E14" s="52" t="s">
        <v>54</v>
      </c>
      <c r="F14" s="52" t="s">
        <v>46</v>
      </c>
      <c r="G14" s="52" t="s">
        <v>117</v>
      </c>
      <c r="H14" s="52" t="s">
        <v>24</v>
      </c>
      <c r="I14" s="62" t="s">
        <v>160</v>
      </c>
      <c r="J14" s="52" t="s">
        <v>31</v>
      </c>
      <c r="K14" s="52">
        <v>50</v>
      </c>
      <c r="L14" s="52">
        <v>60</v>
      </c>
      <c r="M14" s="21"/>
    </row>
    <row r="15" spans="2:13" ht="15.75" thickBot="1" x14ac:dyDescent="0.3">
      <c r="B15" s="45">
        <f t="shared" si="0"/>
        <v>6</v>
      </c>
      <c r="C15" s="49" t="s">
        <v>38</v>
      </c>
      <c r="D15" s="50" t="s">
        <v>55</v>
      </c>
      <c r="E15" s="50" t="s">
        <v>56</v>
      </c>
      <c r="F15" s="50" t="s">
        <v>46</v>
      </c>
      <c r="G15" s="50" t="s">
        <v>118</v>
      </c>
      <c r="H15" s="50" t="s">
        <v>25</v>
      </c>
      <c r="I15" s="61" t="s">
        <v>161</v>
      </c>
      <c r="J15" s="50" t="s">
        <v>162</v>
      </c>
      <c r="K15" s="50">
        <v>25</v>
      </c>
      <c r="L15" s="50">
        <v>100</v>
      </c>
      <c r="M15" s="22"/>
    </row>
    <row r="16" spans="2:13" ht="15.75" thickBot="1" x14ac:dyDescent="0.3">
      <c r="B16" s="45">
        <f>ROW(B16) - ROW($B$9)</f>
        <v>7</v>
      </c>
      <c r="C16" s="51" t="s">
        <v>38</v>
      </c>
      <c r="D16" s="52" t="s">
        <v>57</v>
      </c>
      <c r="E16" s="52" t="s">
        <v>58</v>
      </c>
      <c r="F16" s="52" t="s">
        <v>59</v>
      </c>
      <c r="G16" s="52" t="s">
        <v>119</v>
      </c>
      <c r="H16" s="52" t="s">
        <v>120</v>
      </c>
      <c r="I16" s="62" t="s">
        <v>163</v>
      </c>
      <c r="J16" s="52" t="s">
        <v>164</v>
      </c>
      <c r="K16" s="52">
        <v>25</v>
      </c>
      <c r="L16" s="52">
        <v>28</v>
      </c>
      <c r="M16" s="25"/>
    </row>
    <row r="17" spans="2:13" ht="48.75" thickBot="1" x14ac:dyDescent="0.3">
      <c r="B17" s="53">
        <f t="shared" si="0"/>
        <v>8</v>
      </c>
      <c r="C17" s="54" t="s">
        <v>38</v>
      </c>
      <c r="D17" s="55" t="s">
        <v>9</v>
      </c>
      <c r="E17" s="50" t="s">
        <v>60</v>
      </c>
      <c r="F17" s="55" t="s">
        <v>34</v>
      </c>
      <c r="G17" s="55" t="s">
        <v>121</v>
      </c>
      <c r="H17" s="55" t="s">
        <v>122</v>
      </c>
      <c r="I17" s="55" t="s">
        <v>165</v>
      </c>
      <c r="J17" s="55" t="s">
        <v>166</v>
      </c>
      <c r="K17" s="55">
        <v>25</v>
      </c>
      <c r="L17" s="55">
        <v>28</v>
      </c>
      <c r="M17" s="22"/>
    </row>
    <row r="18" spans="2:13" ht="15.75" thickBot="1" x14ac:dyDescent="0.3">
      <c r="B18" s="45">
        <f>ROW(B18) - ROW($B$9)</f>
        <v>9</v>
      </c>
      <c r="C18" s="51" t="s">
        <v>61</v>
      </c>
      <c r="D18" s="52" t="s">
        <v>62</v>
      </c>
      <c r="E18" s="52" t="s">
        <v>63</v>
      </c>
      <c r="F18" s="52" t="s">
        <v>64</v>
      </c>
      <c r="G18" s="52" t="s">
        <v>123</v>
      </c>
      <c r="H18" s="52" t="s">
        <v>124</v>
      </c>
      <c r="I18" s="62" t="s">
        <v>167</v>
      </c>
      <c r="J18" s="52" t="s">
        <v>144</v>
      </c>
      <c r="K18" s="52">
        <v>50</v>
      </c>
      <c r="L18" s="52">
        <v>60</v>
      </c>
      <c r="M18" s="25"/>
    </row>
    <row r="19" spans="2:13" ht="24.75" thickBot="1" x14ac:dyDescent="0.3">
      <c r="B19" s="45">
        <f t="shared" si="0"/>
        <v>10</v>
      </c>
      <c r="C19" s="49" t="s">
        <v>61</v>
      </c>
      <c r="D19" s="50" t="s">
        <v>65</v>
      </c>
      <c r="E19" s="50" t="s">
        <v>66</v>
      </c>
      <c r="F19" s="50" t="s">
        <v>67</v>
      </c>
      <c r="G19" s="50" t="s">
        <v>125</v>
      </c>
      <c r="H19" s="50" t="s">
        <v>126</v>
      </c>
      <c r="I19" s="50" t="s">
        <v>168</v>
      </c>
      <c r="J19" s="50" t="s">
        <v>144</v>
      </c>
      <c r="K19" s="50">
        <v>25</v>
      </c>
      <c r="L19" s="50">
        <v>40</v>
      </c>
      <c r="M19" s="22"/>
    </row>
    <row r="20" spans="2:13" ht="15.75" thickBot="1" x14ac:dyDescent="0.3">
      <c r="B20" s="45">
        <f>ROW(B20) - ROW($B$9)</f>
        <v>11</v>
      </c>
      <c r="C20" s="51" t="s">
        <v>68</v>
      </c>
      <c r="D20" s="52" t="s">
        <v>10</v>
      </c>
      <c r="E20" s="52" t="s">
        <v>69</v>
      </c>
      <c r="F20" s="52" t="s">
        <v>34</v>
      </c>
      <c r="G20" s="62" t="s">
        <v>202</v>
      </c>
      <c r="H20" s="52" t="s">
        <v>127</v>
      </c>
      <c r="I20" s="62" t="s">
        <v>169</v>
      </c>
      <c r="J20" s="52" t="s">
        <v>144</v>
      </c>
      <c r="K20" s="52">
        <v>25</v>
      </c>
      <c r="L20" s="52">
        <v>28</v>
      </c>
      <c r="M20" s="25"/>
    </row>
    <row r="21" spans="2:13" ht="24.75" thickBot="1" x14ac:dyDescent="0.3">
      <c r="B21" s="45">
        <f t="shared" si="0"/>
        <v>12</v>
      </c>
      <c r="C21" s="49" t="s">
        <v>68</v>
      </c>
      <c r="D21" s="50" t="s">
        <v>11</v>
      </c>
      <c r="E21" s="50" t="s">
        <v>70</v>
      </c>
      <c r="F21" s="50" t="s">
        <v>34</v>
      </c>
      <c r="G21" s="50" t="s">
        <v>128</v>
      </c>
      <c r="H21" s="50" t="s">
        <v>129</v>
      </c>
      <c r="I21" s="50" t="s">
        <v>170</v>
      </c>
      <c r="J21" s="50" t="s">
        <v>144</v>
      </c>
      <c r="K21" s="50">
        <v>25</v>
      </c>
      <c r="L21" s="50">
        <v>30</v>
      </c>
      <c r="M21" s="22"/>
    </row>
    <row r="22" spans="2:13" ht="15.75" thickBot="1" x14ac:dyDescent="0.3">
      <c r="B22" s="45">
        <f>ROW(B22) - ROW($B$9)</f>
        <v>13</v>
      </c>
      <c r="C22" s="51" t="s">
        <v>68</v>
      </c>
      <c r="D22" s="52" t="s">
        <v>12</v>
      </c>
      <c r="E22" s="52" t="s">
        <v>71</v>
      </c>
      <c r="F22" s="52" t="s">
        <v>34</v>
      </c>
      <c r="G22" s="73" t="s">
        <v>203</v>
      </c>
      <c r="H22" s="52" t="s">
        <v>130</v>
      </c>
      <c r="I22" s="63" t="s">
        <v>171</v>
      </c>
      <c r="J22" s="52" t="s">
        <v>144</v>
      </c>
      <c r="K22" s="52">
        <v>25</v>
      </c>
      <c r="L22" s="52">
        <v>30</v>
      </c>
      <c r="M22" s="46"/>
    </row>
    <row r="23" spans="2:13" ht="36.75" thickBot="1" x14ac:dyDescent="0.3">
      <c r="B23" s="45">
        <f t="shared" si="0"/>
        <v>14</v>
      </c>
      <c r="C23" s="49" t="s">
        <v>40</v>
      </c>
      <c r="D23" s="50" t="s">
        <v>13</v>
      </c>
      <c r="E23" s="50" t="s">
        <v>72</v>
      </c>
      <c r="F23" s="50" t="s">
        <v>34</v>
      </c>
      <c r="G23" s="50" t="s">
        <v>131</v>
      </c>
      <c r="H23" s="50" t="s">
        <v>132</v>
      </c>
      <c r="I23" s="50" t="s">
        <v>172</v>
      </c>
      <c r="J23" s="50" t="s">
        <v>173</v>
      </c>
      <c r="K23" s="50">
        <v>25</v>
      </c>
      <c r="L23" s="50">
        <v>28</v>
      </c>
      <c r="M23" s="22"/>
    </row>
    <row r="24" spans="2:13" ht="15.75" thickBot="1" x14ac:dyDescent="0.3">
      <c r="B24" s="45">
        <f>ROW(B24) - ROW($B$9)</f>
        <v>15</v>
      </c>
      <c r="C24" s="51" t="s">
        <v>39</v>
      </c>
      <c r="D24" s="52" t="s">
        <v>73</v>
      </c>
      <c r="E24" s="52" t="s">
        <v>74</v>
      </c>
      <c r="F24" s="52" t="s">
        <v>34</v>
      </c>
      <c r="G24" s="62" t="s">
        <v>204</v>
      </c>
      <c r="H24" s="52" t="s">
        <v>35</v>
      </c>
      <c r="I24" s="62" t="s">
        <v>174</v>
      </c>
      <c r="J24" s="52" t="s">
        <v>144</v>
      </c>
      <c r="K24" s="52">
        <v>25</v>
      </c>
      <c r="L24" s="52">
        <v>50</v>
      </c>
      <c r="M24" s="25"/>
    </row>
    <row r="25" spans="2:13" ht="15.75" thickBot="1" x14ac:dyDescent="0.3">
      <c r="B25" s="45">
        <f t="shared" si="0"/>
        <v>16</v>
      </c>
      <c r="C25" s="49" t="s">
        <v>75</v>
      </c>
      <c r="D25" s="50" t="s">
        <v>76</v>
      </c>
      <c r="E25" s="50" t="s">
        <v>77</v>
      </c>
      <c r="F25" s="50" t="s">
        <v>21</v>
      </c>
      <c r="G25" s="74" t="s">
        <v>205</v>
      </c>
      <c r="H25" s="50" t="s">
        <v>133</v>
      </c>
      <c r="I25" s="64" t="s">
        <v>175</v>
      </c>
      <c r="J25" s="50" t="s">
        <v>144</v>
      </c>
      <c r="K25" s="50">
        <v>150</v>
      </c>
      <c r="L25" s="50">
        <v>160</v>
      </c>
      <c r="M25" s="22"/>
    </row>
    <row r="26" spans="2:13" ht="15.75" thickBot="1" x14ac:dyDescent="0.3">
      <c r="B26" s="45">
        <f>ROW(B26) - ROW($B$9)</f>
        <v>17</v>
      </c>
      <c r="C26" s="51" t="s">
        <v>41</v>
      </c>
      <c r="D26" s="52" t="s">
        <v>78</v>
      </c>
      <c r="E26" s="52" t="s">
        <v>79</v>
      </c>
      <c r="F26" s="52" t="s">
        <v>80</v>
      </c>
      <c r="G26" s="65" t="s">
        <v>206</v>
      </c>
      <c r="H26" s="52" t="s">
        <v>134</v>
      </c>
      <c r="I26" s="65" t="s">
        <v>176</v>
      </c>
      <c r="J26" s="52" t="s">
        <v>177</v>
      </c>
      <c r="K26" s="52">
        <v>50</v>
      </c>
      <c r="L26" s="52">
        <v>60</v>
      </c>
      <c r="M26" s="25"/>
    </row>
    <row r="27" spans="2:13" ht="15.75" thickBot="1" x14ac:dyDescent="0.3">
      <c r="B27" s="45">
        <f t="shared" si="0"/>
        <v>18</v>
      </c>
      <c r="C27" s="49" t="s">
        <v>41</v>
      </c>
      <c r="D27" s="50" t="s">
        <v>81</v>
      </c>
      <c r="E27" s="50" t="s">
        <v>82</v>
      </c>
      <c r="F27" s="50" t="s">
        <v>83</v>
      </c>
      <c r="G27" s="74" t="s">
        <v>207</v>
      </c>
      <c r="H27" s="50" t="s">
        <v>135</v>
      </c>
      <c r="I27" s="66" t="s">
        <v>178</v>
      </c>
      <c r="J27" s="50" t="s">
        <v>179</v>
      </c>
      <c r="K27" s="50">
        <v>25</v>
      </c>
      <c r="L27" s="50">
        <v>50</v>
      </c>
      <c r="M27" s="22"/>
    </row>
    <row r="28" spans="2:13" ht="24.75" thickBot="1" x14ac:dyDescent="0.3">
      <c r="B28" s="45">
        <f>ROW(B28) - ROW($B$9)</f>
        <v>19</v>
      </c>
      <c r="C28" s="51" t="s">
        <v>41</v>
      </c>
      <c r="D28" s="52" t="s">
        <v>84</v>
      </c>
      <c r="E28" s="52" t="s">
        <v>85</v>
      </c>
      <c r="F28" s="52" t="s">
        <v>80</v>
      </c>
      <c r="G28" s="52" t="s">
        <v>136</v>
      </c>
      <c r="H28" s="52" t="s">
        <v>25</v>
      </c>
      <c r="I28" s="52" t="s">
        <v>180</v>
      </c>
      <c r="J28" s="52" t="s">
        <v>181</v>
      </c>
      <c r="K28" s="52">
        <v>275</v>
      </c>
      <c r="L28" s="52">
        <v>300</v>
      </c>
      <c r="M28" s="25"/>
    </row>
    <row r="29" spans="2:13" ht="24.75" thickBot="1" x14ac:dyDescent="0.3">
      <c r="B29" s="45">
        <f t="shared" si="0"/>
        <v>20</v>
      </c>
      <c r="C29" s="49" t="s">
        <v>41</v>
      </c>
      <c r="D29" s="50" t="s">
        <v>86</v>
      </c>
      <c r="E29" s="50" t="s">
        <v>87</v>
      </c>
      <c r="F29" s="50" t="s">
        <v>80</v>
      </c>
      <c r="G29" s="50" t="s">
        <v>137</v>
      </c>
      <c r="H29" s="50" t="s">
        <v>25</v>
      </c>
      <c r="I29" s="50" t="s">
        <v>182</v>
      </c>
      <c r="J29" s="50" t="s">
        <v>33</v>
      </c>
      <c r="K29" s="50">
        <v>325</v>
      </c>
      <c r="L29" s="50">
        <v>400</v>
      </c>
      <c r="M29" s="22"/>
    </row>
    <row r="30" spans="2:13" ht="15.75" thickBot="1" x14ac:dyDescent="0.3">
      <c r="B30" s="45">
        <f>ROW(B30) - ROW($B$9)</f>
        <v>21</v>
      </c>
      <c r="C30" s="51" t="s">
        <v>41</v>
      </c>
      <c r="D30" s="52" t="s">
        <v>88</v>
      </c>
      <c r="E30" s="52" t="s">
        <v>89</v>
      </c>
      <c r="F30" s="52" t="s">
        <v>80</v>
      </c>
      <c r="G30" s="52" t="s">
        <v>138</v>
      </c>
      <c r="H30" s="52" t="s">
        <v>25</v>
      </c>
      <c r="I30" s="62" t="s">
        <v>183</v>
      </c>
      <c r="J30" s="52" t="s">
        <v>184</v>
      </c>
      <c r="K30" s="52">
        <v>25</v>
      </c>
      <c r="L30" s="52">
        <v>100</v>
      </c>
      <c r="M30" s="25"/>
    </row>
    <row r="31" spans="2:13" ht="36.75" thickBot="1" x14ac:dyDescent="0.3">
      <c r="B31" s="45">
        <f t="shared" si="0"/>
        <v>22</v>
      </c>
      <c r="C31" s="49" t="s">
        <v>41</v>
      </c>
      <c r="D31" s="50" t="s">
        <v>90</v>
      </c>
      <c r="E31" s="50" t="s">
        <v>91</v>
      </c>
      <c r="F31" s="50" t="s">
        <v>80</v>
      </c>
      <c r="G31" s="50" t="s">
        <v>139</v>
      </c>
      <c r="H31" s="50" t="s">
        <v>140</v>
      </c>
      <c r="I31" s="50" t="s">
        <v>185</v>
      </c>
      <c r="J31" s="50" t="s">
        <v>186</v>
      </c>
      <c r="K31" s="50">
        <v>25</v>
      </c>
      <c r="L31" s="50">
        <v>50</v>
      </c>
      <c r="M31" s="22"/>
    </row>
    <row r="32" spans="2:13" ht="24.75" thickBot="1" x14ac:dyDescent="0.3">
      <c r="B32" s="45">
        <f>ROW(B32) - ROW($B$9)</f>
        <v>23</v>
      </c>
      <c r="C32" s="51" t="s">
        <v>41</v>
      </c>
      <c r="D32" s="52" t="s">
        <v>92</v>
      </c>
      <c r="E32" s="52" t="s">
        <v>93</v>
      </c>
      <c r="F32" s="52" t="s">
        <v>94</v>
      </c>
      <c r="G32" s="52" t="s">
        <v>141</v>
      </c>
      <c r="H32" s="52" t="s">
        <v>142</v>
      </c>
      <c r="I32" s="52" t="s">
        <v>187</v>
      </c>
      <c r="J32" s="52" t="s">
        <v>188</v>
      </c>
      <c r="K32" s="52">
        <v>25</v>
      </c>
      <c r="L32" s="52">
        <v>28</v>
      </c>
      <c r="M32" s="25"/>
    </row>
    <row r="33" spans="2:13" ht="36.75" thickBot="1" x14ac:dyDescent="0.3">
      <c r="B33" s="45">
        <f t="shared" si="0"/>
        <v>24</v>
      </c>
      <c r="C33" s="49" t="s">
        <v>41</v>
      </c>
      <c r="D33" s="50" t="s">
        <v>95</v>
      </c>
      <c r="E33" s="50" t="s">
        <v>96</v>
      </c>
      <c r="F33" s="50" t="s">
        <v>80</v>
      </c>
      <c r="G33" s="50" t="s">
        <v>143</v>
      </c>
      <c r="H33" s="50" t="s">
        <v>36</v>
      </c>
      <c r="I33" s="50" t="s">
        <v>189</v>
      </c>
      <c r="J33" s="50" t="s">
        <v>190</v>
      </c>
      <c r="K33" s="50">
        <v>25</v>
      </c>
      <c r="L33" s="50">
        <v>100</v>
      </c>
      <c r="M33" s="22"/>
    </row>
    <row r="34" spans="2:13" ht="24.75" thickBot="1" x14ac:dyDescent="0.3">
      <c r="B34" s="45">
        <f>ROW(B34) - ROW($B$9)</f>
        <v>25</v>
      </c>
      <c r="C34" s="56" t="s">
        <v>97</v>
      </c>
      <c r="D34" s="57" t="s">
        <v>98</v>
      </c>
      <c r="E34" s="57" t="s">
        <v>18</v>
      </c>
      <c r="F34" s="57" t="s">
        <v>34</v>
      </c>
      <c r="G34" s="57" t="s">
        <v>144</v>
      </c>
      <c r="H34" s="57" t="s">
        <v>144</v>
      </c>
      <c r="I34" s="67" t="s">
        <v>144</v>
      </c>
      <c r="J34" s="57" t="s">
        <v>144</v>
      </c>
      <c r="K34" s="57">
        <v>25</v>
      </c>
      <c r="L34" s="57" t="s">
        <v>144</v>
      </c>
      <c r="M34" s="25"/>
    </row>
    <row r="35" spans="2:13" ht="15.75" thickBot="1" x14ac:dyDescent="0.3">
      <c r="B35" s="45">
        <f t="shared" si="0"/>
        <v>26</v>
      </c>
      <c r="C35" s="49" t="s">
        <v>99</v>
      </c>
      <c r="D35" s="50" t="s">
        <v>100</v>
      </c>
      <c r="E35" s="50" t="s">
        <v>101</v>
      </c>
      <c r="F35" s="50" t="s">
        <v>34</v>
      </c>
      <c r="G35" s="50" t="s">
        <v>145</v>
      </c>
      <c r="H35" s="50" t="s">
        <v>146</v>
      </c>
      <c r="I35" s="61" t="s">
        <v>191</v>
      </c>
      <c r="J35" s="50" t="s">
        <v>144</v>
      </c>
      <c r="K35" s="50">
        <v>25</v>
      </c>
      <c r="L35" s="50">
        <v>28</v>
      </c>
      <c r="M35" s="22"/>
    </row>
    <row r="36" spans="2:13" ht="15.75" thickBot="1" x14ac:dyDescent="0.3">
      <c r="B36" s="45">
        <f>ROW(B36) - ROW($B$9)</f>
        <v>27</v>
      </c>
      <c r="C36" s="51" t="s">
        <v>102</v>
      </c>
      <c r="D36" s="52" t="s">
        <v>14</v>
      </c>
      <c r="E36" s="52" t="s">
        <v>103</v>
      </c>
      <c r="F36" s="52" t="s">
        <v>104</v>
      </c>
      <c r="G36" s="52" t="s">
        <v>147</v>
      </c>
      <c r="H36" s="52" t="s">
        <v>28</v>
      </c>
      <c r="I36" s="62" t="s">
        <v>192</v>
      </c>
      <c r="J36" s="52" t="s">
        <v>144</v>
      </c>
      <c r="K36" s="52">
        <v>25</v>
      </c>
      <c r="L36" s="52">
        <v>27</v>
      </c>
      <c r="M36" s="25"/>
    </row>
    <row r="37" spans="2:13" ht="15.75" thickBot="1" x14ac:dyDescent="0.3">
      <c r="B37" s="45">
        <f t="shared" si="0"/>
        <v>28</v>
      </c>
      <c r="C37" s="49" t="s">
        <v>102</v>
      </c>
      <c r="D37" s="50" t="s">
        <v>15</v>
      </c>
      <c r="E37" s="50" t="s">
        <v>105</v>
      </c>
      <c r="F37" s="50" t="s">
        <v>106</v>
      </c>
      <c r="G37" s="50" t="s">
        <v>148</v>
      </c>
      <c r="H37" s="50" t="s">
        <v>28</v>
      </c>
      <c r="I37" s="61" t="s">
        <v>193</v>
      </c>
      <c r="J37" s="50" t="s">
        <v>144</v>
      </c>
      <c r="K37" s="50">
        <v>25</v>
      </c>
      <c r="L37" s="50">
        <v>27</v>
      </c>
      <c r="M37" s="22"/>
    </row>
    <row r="38" spans="2:13" ht="15.75" thickBot="1" x14ac:dyDescent="0.3">
      <c r="B38" s="45">
        <f>ROW(B38) - ROW($B$9)</f>
        <v>29</v>
      </c>
      <c r="C38" s="51" t="s">
        <v>102</v>
      </c>
      <c r="D38" s="52" t="s">
        <v>16</v>
      </c>
      <c r="E38" s="52" t="s">
        <v>107</v>
      </c>
      <c r="F38" s="52" t="s">
        <v>108</v>
      </c>
      <c r="G38" s="52" t="s">
        <v>149</v>
      </c>
      <c r="H38" s="52" t="s">
        <v>27</v>
      </c>
      <c r="I38" s="62" t="s">
        <v>194</v>
      </c>
      <c r="J38" s="52" t="s">
        <v>144</v>
      </c>
      <c r="K38" s="52">
        <v>25</v>
      </c>
      <c r="L38" s="52">
        <v>27</v>
      </c>
      <c r="M38" s="25"/>
    </row>
    <row r="39" spans="2:13" ht="15.75" thickBot="1" x14ac:dyDescent="0.3">
      <c r="B39" s="45">
        <f t="shared" si="0"/>
        <v>30</v>
      </c>
      <c r="C39" s="49" t="s">
        <v>39</v>
      </c>
      <c r="D39" s="50" t="s">
        <v>109</v>
      </c>
      <c r="E39" s="50" t="s">
        <v>110</v>
      </c>
      <c r="F39" s="50" t="s">
        <v>34</v>
      </c>
      <c r="G39" s="50" t="s">
        <v>150</v>
      </c>
      <c r="H39" s="50" t="s">
        <v>151</v>
      </c>
      <c r="I39" s="61" t="s">
        <v>195</v>
      </c>
      <c r="J39" s="50" t="s">
        <v>144</v>
      </c>
      <c r="K39" s="50">
        <v>25</v>
      </c>
      <c r="L39" s="50">
        <v>30</v>
      </c>
      <c r="M39" s="22"/>
    </row>
    <row r="40" spans="2:13" ht="15.75" thickBot="1" x14ac:dyDescent="0.3">
      <c r="B40" s="45">
        <f>ROW(B40) - ROW($B$9)</f>
        <v>31</v>
      </c>
      <c r="C40" s="58" t="s">
        <v>42</v>
      </c>
      <c r="D40" s="59" t="s">
        <v>111</v>
      </c>
      <c r="E40" s="59" t="s">
        <v>112</v>
      </c>
      <c r="F40" s="59" t="s">
        <v>34</v>
      </c>
      <c r="G40" s="52" t="s">
        <v>208</v>
      </c>
      <c r="H40" s="59" t="s">
        <v>152</v>
      </c>
      <c r="I40" s="68" t="s">
        <v>196</v>
      </c>
      <c r="J40" s="59" t="s">
        <v>197</v>
      </c>
      <c r="K40" s="59">
        <v>25</v>
      </c>
      <c r="L40" s="59">
        <v>30</v>
      </c>
      <c r="M40" s="25"/>
    </row>
    <row r="41" spans="2:13" x14ac:dyDescent="0.25">
      <c r="B41" s="30"/>
      <c r="C41" s="43"/>
      <c r="D41" s="31" t="s">
        <v>5</v>
      </c>
      <c r="E41" s="32"/>
      <c r="F41" s="33"/>
      <c r="G41" s="79"/>
      <c r="H41" s="79"/>
      <c r="I41" s="79"/>
      <c r="J41" s="79"/>
      <c r="K41" s="79"/>
      <c r="L41" s="79"/>
      <c r="M41" s="80"/>
    </row>
    <row r="42" spans="2:13" ht="15.75" thickBot="1" x14ac:dyDescent="0.3">
      <c r="B42" s="20"/>
      <c r="C42" s="44"/>
      <c r="D42" s="7" t="s">
        <v>6</v>
      </c>
      <c r="E42" s="8"/>
      <c r="F42" s="8"/>
      <c r="G42" s="81"/>
      <c r="H42" s="81"/>
      <c r="I42" s="81"/>
      <c r="J42" s="81"/>
      <c r="K42" s="81"/>
      <c r="L42" s="81"/>
      <c r="M42" s="82"/>
    </row>
  </sheetData>
  <mergeCells count="3">
    <mergeCell ref="M3:M8"/>
    <mergeCell ref="K2:M2"/>
    <mergeCell ref="G41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2022-11-28T16:31:13Z</dcterms:modified>
</cp:coreProperties>
</file>