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JohnWollam-LCDProject\Deliverable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1" i="1"/>
  <c r="O32" i="1"/>
  <c r="O33" i="1"/>
  <c r="O34" i="1"/>
  <c r="O35" i="1"/>
  <c r="O36" i="1"/>
  <c r="O37" i="1"/>
  <c r="O38" i="1"/>
  <c r="O39" i="1"/>
  <c r="O40" i="1"/>
  <c r="O10" i="1"/>
  <c r="M10" i="1"/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<sst xmlns="http://schemas.openxmlformats.org/spreadsheetml/2006/main" count="276" uniqueCount="196">
  <si>
    <t>Component list</t>
  </si>
  <si>
    <t>Source Data From:</t>
  </si>
  <si>
    <t>Project:</t>
  </si>
  <si>
    <t>Variant:</t>
  </si>
  <si>
    <t>#</t>
  </si>
  <si>
    <t>Column=Reviewer Remarks</t>
  </si>
  <si>
    <t>John Wollam.PrjPCB</t>
  </si>
  <si>
    <t>None</t>
  </si>
  <si>
    <t>Designator</t>
  </si>
  <si>
    <t>C1, C2, C3, C6, C9, C10</t>
  </si>
  <si>
    <t>C4, C5</t>
  </si>
  <si>
    <t>C7, C13</t>
  </si>
  <si>
    <t>C8</t>
  </si>
  <si>
    <t>C11, C14</t>
  </si>
  <si>
    <t>C15</t>
  </si>
  <si>
    <t>C16</t>
  </si>
  <si>
    <t>C17</t>
  </si>
  <si>
    <t>D1, D2</t>
  </si>
  <si>
    <t>D3</t>
  </si>
  <si>
    <t>J1</t>
  </si>
  <si>
    <t>J3</t>
  </si>
  <si>
    <t>J4</t>
  </si>
  <si>
    <t>L1</t>
  </si>
  <si>
    <t>P1</t>
  </si>
  <si>
    <t>Q2, Q4, Q5, Q6, Q7, Q8</t>
  </si>
  <si>
    <t>R1, R2</t>
  </si>
  <si>
    <t>R4</t>
  </si>
  <si>
    <t>R6, R7, R8, R9, R10, R11, R12, R13, R14, R15, R17</t>
  </si>
  <si>
    <t>R18, R20, R21, R22, R23, R24, R25, R26, R27, R28, R29, R30, R31</t>
  </si>
  <si>
    <t>R19</t>
  </si>
  <si>
    <t>R32</t>
  </si>
  <si>
    <t>R33</t>
  </si>
  <si>
    <t>R34</t>
  </si>
  <si>
    <t>SB1</t>
  </si>
  <si>
    <t>SW1</t>
  </si>
  <si>
    <t>U1</t>
  </si>
  <si>
    <t>U2</t>
  </si>
  <si>
    <t>U3</t>
  </si>
  <si>
    <t>USB1</t>
  </si>
  <si>
    <t>X1</t>
  </si>
  <si>
    <t>Description</t>
  </si>
  <si>
    <t>CAP CER 0.1UF 50V Y5V 0603</t>
  </si>
  <si>
    <t>CAP CER 20PF 50V C0G/NPO 0603</t>
  </si>
  <si>
    <t>CAP CER 1UF 50V X7R 0603</t>
  </si>
  <si>
    <t>CAP CER 10000PF 50V X7R 0603</t>
  </si>
  <si>
    <t>CAP CER 4.7UF 25V X5R 0603</t>
  </si>
  <si>
    <t>CAP CER 470pF 10% X7R 50V 0603 SMD</t>
  </si>
  <si>
    <t>CAP TANT 100UF 20% 25V 2917</t>
  </si>
  <si>
    <t>470uF ±20% 50V 12.5mm 13.5mm 1000hrs 105℃ -40℃~+105℃ SMD,12.5x13.5mm Aluminum Electrolytic Capacitors - SMD RoHS</t>
  </si>
  <si>
    <t>DIODE GEN PURP 75V 150MA SOD323</t>
  </si>
  <si>
    <t>40V 500mV@2A 2A SMA(DO-214AC) Schottky Barrier Diodes (SBD) ROHS</t>
  </si>
  <si>
    <t>TERM BLK 10P SIDE ENT 5.08MM PCB</t>
  </si>
  <si>
    <t>2.5 18A Green Straight pin 5.08mm 1 14~30 2 Straight,P=5.08mm</t>
  </si>
  <si>
    <t>CONN HDR 16POS 0.1 GOLD PCB</t>
  </si>
  <si>
    <t>Inductor Power Shielded Wirewound 220uH 20% 1KHz Ferrite 1.3A 310mOhm DCR Blister T/R</t>
  </si>
  <si>
    <t>CONN HEADER VERT 3POS 2.54MM</t>
  </si>
  <si>
    <t>MOSFET N-CH 50V 200MA SOT-23</t>
  </si>
  <si>
    <t>RES SMD 50K OHM 0.1% 0.15W 0603</t>
  </si>
  <si>
    <t>RES SMD 3.6 OHM 1% 1/4W 1206</t>
  </si>
  <si>
    <t>RES 20K OHM 1% 1/10W 0603</t>
  </si>
  <si>
    <t>RES SMD 10K Ohm 1% 1/10W 0603</t>
  </si>
  <si>
    <t>RES 56K OHM 1% 1/10W 0603</t>
  </si>
  <si>
    <t>±1% 1/10W Thick Film Resistors 75V ±600ppm/℃ -55℃~+155℃ 0.33Ω 0603 Chip Resistor - Surface Mount ROHS</t>
  </si>
  <si>
    <t>100mW Thin Film Resistor 100V 3.75kΩ 0805 Chip Resistor</t>
  </si>
  <si>
    <t>±1% 1/10W Thick Film Resistors 75V ±100ppm/℃ -55℃~+155℃ 1.2kΩ 0603 Chip Resistor - Surface Mount ROHS</t>
  </si>
  <si>
    <t>Solder Bridge ON</t>
  </si>
  <si>
    <t>SWITCH TACTILE SPST-NO 0.05A 12V</t>
  </si>
  <si>
    <t>IC MCU 32BIT 128KB FLASH 48LQFP</t>
  </si>
  <si>
    <t>IC REG LINEAR 3.3V 1.2A SOT223</t>
  </si>
  <si>
    <t>IC REG BUCK BST ADJ 1.5A 8SOIC</t>
  </si>
  <si>
    <t>CONN RCPT USB2.0 MICRO B SMD R/A</t>
  </si>
  <si>
    <t>CRYSTAL 8.0000MHZ 18PF SMD</t>
  </si>
  <si>
    <t>Footprint</t>
  </si>
  <si>
    <t>Cap-0603</t>
  </si>
  <si>
    <t>Cap0603</t>
  </si>
  <si>
    <t>Case-E</t>
  </si>
  <si>
    <t>VT1H471MI135000CE0</t>
  </si>
  <si>
    <t>SOD-323</t>
  </si>
  <si>
    <t>SMA</t>
  </si>
  <si>
    <t>SLF12575T-221M1R3-PF</t>
  </si>
  <si>
    <t>SOT-23</t>
  </si>
  <si>
    <t>Res-0603</t>
  </si>
  <si>
    <t>Res-1206</t>
  </si>
  <si>
    <t>RES-0805</t>
  </si>
  <si>
    <t>Solder Bridge</t>
  </si>
  <si>
    <t>48-LQFP (7x7)_</t>
  </si>
  <si>
    <t>SOT- 223</t>
  </si>
  <si>
    <t>SOIC-8</t>
  </si>
  <si>
    <t>Manufacturer Part Number</t>
  </si>
  <si>
    <t>CC0603ZRY5V9BB104</t>
  </si>
  <si>
    <t>CC0603JRNPO9BN200</t>
  </si>
  <si>
    <t>UMK107AB7105KA-T</t>
  </si>
  <si>
    <t>CC0603KRX7R9BB103</t>
  </si>
  <si>
    <t>GRM188R61E475KE11D</t>
  </si>
  <si>
    <t>CC0603KRX7R9BB471</t>
  </si>
  <si>
    <t>TAJE107M025RNJ</t>
  </si>
  <si>
    <t>1N4148WS-7-F</t>
  </si>
  <si>
    <t>SS24A</t>
  </si>
  <si>
    <t>OSTTC102162</t>
  </si>
  <si>
    <t>WJ500V-5.08-2P</t>
  </si>
  <si>
    <t>PPPC161LFBN-RC</t>
  </si>
  <si>
    <t>BSS138LT1G</t>
  </si>
  <si>
    <t>PNM0603E5002BST5</t>
  </si>
  <si>
    <t>CRCW12063R60FKEA</t>
  </si>
  <si>
    <t>RC0603FR-0720KL</t>
  </si>
  <si>
    <t>RC0603FR-0710KL</t>
  </si>
  <si>
    <t>RC0603FR-0756KL</t>
  </si>
  <si>
    <t>RTT03R330FTP</t>
  </si>
  <si>
    <t>AR05BTB3751A010</t>
  </si>
  <si>
    <t>0603WAF1201T5E</t>
  </si>
  <si>
    <t>TL3301NF160QG/TR</t>
  </si>
  <si>
    <t>STM32F070CBT6TR</t>
  </si>
  <si>
    <t>LDL1117S33R</t>
  </si>
  <si>
    <t>MC34063ADR</t>
  </si>
  <si>
    <t>10118192-0001LF</t>
  </si>
  <si>
    <t>7B08070001</t>
  </si>
  <si>
    <t>Manufacturer</t>
  </si>
  <si>
    <t>Yageo</t>
  </si>
  <si>
    <t>Taiyo Yuden</t>
  </si>
  <si>
    <t>Murata</t>
  </si>
  <si>
    <t>Kyocera AVX</t>
  </si>
  <si>
    <t>Changzhou Huawei Elec</t>
  </si>
  <si>
    <t>Diodes</t>
  </si>
  <si>
    <t>Guangdong Hottech</t>
  </si>
  <si>
    <t>On-Shore Technology</t>
  </si>
  <si>
    <t>Ningbo Kangnex Elec</t>
  </si>
  <si>
    <t>Sullins</t>
  </si>
  <si>
    <t>TDK</t>
  </si>
  <si>
    <t>Wurth Electronics</t>
  </si>
  <si>
    <t>ON Semiconductor</t>
  </si>
  <si>
    <t>Vishay Dale Thin Film</t>
  </si>
  <si>
    <t>Vishay Dale</t>
  </si>
  <si>
    <t>RALEC</t>
  </si>
  <si>
    <t>Viking Tech</t>
  </si>
  <si>
    <t>UNI-ROYAL</t>
  </si>
  <si>
    <t>E-Switch</t>
  </si>
  <si>
    <t>STMicroelectronics</t>
  </si>
  <si>
    <t>Texas Instruments</t>
  </si>
  <si>
    <t>Amphenol FCI</t>
  </si>
  <si>
    <t>TXC</t>
  </si>
  <si>
    <t>Comment</t>
  </si>
  <si>
    <t>0.1uF</t>
  </si>
  <si>
    <t>20pF</t>
  </si>
  <si>
    <t>1uF</t>
  </si>
  <si>
    <t>10000pF</t>
  </si>
  <si>
    <t>4.7uF</t>
  </si>
  <si>
    <t>470pF</t>
  </si>
  <si>
    <t>100uF</t>
  </si>
  <si>
    <t>470uF</t>
  </si>
  <si>
    <t>16 Pin Female Header With LCD Step</t>
  </si>
  <si>
    <t>220uH</t>
  </si>
  <si>
    <t>50K</t>
  </si>
  <si>
    <t>3.6R</t>
  </si>
  <si>
    <t>20K</t>
  </si>
  <si>
    <t>10K</t>
  </si>
  <si>
    <t>56K</t>
  </si>
  <si>
    <t>0.33R</t>
  </si>
  <si>
    <t>3.75K</t>
  </si>
  <si>
    <t>1.2K</t>
  </si>
  <si>
    <t>Tactile Switch</t>
  </si>
  <si>
    <t>8MHZ</t>
  </si>
  <si>
    <t>Quantity</t>
  </si>
  <si>
    <t xml:space="preserve">Bill of Materials for Project [John Wollam.PrjPCB] </t>
  </si>
  <si>
    <t xml:space="preserve"> Item Type</t>
  </si>
  <si>
    <t>Alternate Part Number</t>
  </si>
  <si>
    <t xml:space="preserve"> LCSC/Part Number</t>
  </si>
  <si>
    <t xml:space="preserve"> Links</t>
  </si>
  <si>
    <t xml:space="preserve"> Remarks</t>
  </si>
  <si>
    <t>Custom</t>
  </si>
  <si>
    <t>Capacitor</t>
  </si>
  <si>
    <t>Diode</t>
  </si>
  <si>
    <t>Header</t>
  </si>
  <si>
    <t>Inductor</t>
  </si>
  <si>
    <t>Connector</t>
  </si>
  <si>
    <t>Mosfet</t>
  </si>
  <si>
    <t>Resistor</t>
  </si>
  <si>
    <t>Crystal</t>
  </si>
  <si>
    <t>IC</t>
  </si>
  <si>
    <t>SWITCH</t>
  </si>
  <si>
    <t xml:space="preserve"> Quantity (10 Boards)</t>
  </si>
  <si>
    <t xml:space="preserve"> MOQ (10 Boards)</t>
  </si>
  <si>
    <t xml:space="preserve"> Quantity (25 Boards)</t>
  </si>
  <si>
    <t xml:space="preserve"> MOQ (25 Boards)</t>
  </si>
  <si>
    <t>Unit Cost (10 Boards)</t>
  </si>
  <si>
    <t xml:space="preserve"> Total Cost (10 Boards)</t>
  </si>
  <si>
    <t>Unit Cost (25 Boards)</t>
  </si>
  <si>
    <t xml:space="preserve"> Total Cost (25 Boards)</t>
  </si>
  <si>
    <t>LCSC</t>
  </si>
  <si>
    <t>LESS STOCK</t>
  </si>
  <si>
    <t>ARG05DTC5002</t>
  </si>
  <si>
    <t>C2828840</t>
  </si>
  <si>
    <t>WATTAGE RATTING IS DIFFEERENT</t>
  </si>
  <si>
    <t> 0.0146 </t>
  </si>
  <si>
    <t>RC1206JR-073R6L</t>
  </si>
  <si>
    <t>C246070</t>
  </si>
  <si>
    <t>Custum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</si>
</sst>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Arial"/>
      <family val="2"/>
    </font>
    <font>
      <sz val="10"/>
      <color rgb="FFE11C25"/>
      <name val="Arial"/>
      <family val="2"/>
    </font>
    <font>
      <strike/>
      <sz val="9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vertical="center" wrapText="1"/>
    </xf>
    <xf numFmtId="0" fontId="15" fillId="3" borderId="21" xfId="0" quotePrefix="1" applyFont="1" applyFill="1" applyBorder="1" applyAlignment="1">
      <alignment vertical="center"/>
    </xf>
    <xf numFmtId="0" fontId="20" fillId="2" borderId="16" xfId="1" applyFill="1" applyBorder="1" applyAlignment="1">
      <alignment horizontal="center" vertical="center" wrapText="1"/>
    </xf>
    <xf numFmtId="0" fontId="21" fillId="0" borderId="0" xfId="0" applyFont="1"/>
    <xf numFmtId="0" fontId="20" fillId="4" borderId="17" xfId="1" applyFill="1" applyBorder="1" applyAlignment="1">
      <alignment horizontal="center" vertical="center" wrapText="1"/>
    </xf>
    <xf numFmtId="0" fontId="22" fillId="0" borderId="0" xfId="0" applyFont="1"/>
    <xf numFmtId="0" fontId="18" fillId="6" borderId="5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165" fontId="18" fillId="6" borderId="16" xfId="0" applyNumberFormat="1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23" fillId="0" borderId="0" xfId="0" applyFont="1"/>
    <xf numFmtId="0" fontId="0" fillId="7" borderId="0" xfId="0" applyFill="1"/>
    <xf numFmtId="0" fontId="21" fillId="7" borderId="0" xfId="0" applyFont="1" applyFill="1" applyAlignment="1">
      <alignment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0" fillId="6" borderId="16" xfId="1" applyFill="1" applyBorder="1" applyAlignment="1">
      <alignment horizontal="center" vertical="center" wrapText="1"/>
    </xf>
    <xf numFmtId="0" fontId="2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85725</xdr:colOff>
      <xdr:row>2</xdr:row>
      <xdr:rowOff>19942</xdr:rowOff>
    </xdr:from>
    <xdr:to>
      <xdr:col>21</xdr:col>
      <xdr:colOff>419100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917900" y="629542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Aluminum-Electrolytic-Capacitors-SMD_Changzhou-Huawei-Elec-VT1H471MI135000CE0_C191227.html" TargetMode="External"/><Relationship Id="rId13" Type="http://schemas.openxmlformats.org/officeDocument/2006/relationships/hyperlink" Target="https://www.lcsc.com/product-detail/Chip-Resistor-Surface-Mount_Viking-Tech-ARG05DTC5002_C2828840.html" TargetMode="External"/><Relationship Id="rId18" Type="http://schemas.openxmlformats.org/officeDocument/2006/relationships/hyperlink" Target="https://www.lcsc.com/product-detail/Chip-Resistor-Surface-Mount_RALEC-RTT03R330FTP_C103893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Murata-Electronics-UMK107AB7105KA-T_C5125798.html" TargetMode="External"/><Relationship Id="rId21" Type="http://schemas.openxmlformats.org/officeDocument/2006/relationships/hyperlink" Target="https://www.lcsc.com/product-detail/Microcontroller-Units-MCUs-MPUs-SOCs_STMicroelectronics-STM32F070CBT6TR_C2053863.html" TargetMode="External"/><Relationship Id="rId7" Type="http://schemas.openxmlformats.org/officeDocument/2006/relationships/hyperlink" Target="https://lcsc.com/product-detail/Tantalum-Capacitors_Kyocera-AVX-TAJE107M025RNJ_C7230.html" TargetMode="External"/><Relationship Id="rId12" Type="http://schemas.openxmlformats.org/officeDocument/2006/relationships/hyperlink" Target="https://www.lcsc.com/product-detail/Power-Inductors_TDK-SLF12575T-221M1R3-PF_C93225.html" TargetMode="External"/><Relationship Id="rId17" Type="http://schemas.openxmlformats.org/officeDocument/2006/relationships/hyperlink" Target="https://www.lcsc.com/product-detail/Chip-Resistor-Surface-Mount_YAGEO-RC0603FR-0756KL_C114630.html" TargetMode="External"/><Relationship Id="rId25" Type="http://schemas.openxmlformats.org/officeDocument/2006/relationships/hyperlink" Target="https://www.verical.com/pd/on-shore-technology--inc-terminal-blocks-OSTTC102162-5048237?utm_term=OSTTC102162&amp;utm_source=digipart&amp;utm_medium=aggregator&amp;utm_campaign=digipart_2018&amp;utm_content=inv_listing" TargetMode="External"/><Relationship Id="rId2" Type="http://schemas.openxmlformats.org/officeDocument/2006/relationships/hyperlink" Target="https://lcsc.com/product-detail/Multilayer-Ceramic-Capacitors-MLCC-SMD-SMT_YAGEO-CC0603JRNPO9BN200_C105621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Chip-Resistor-Surface-Mount_UNI-ROYAL-Uniroyal-Elec-0603WAF1201T5E_C22765.html" TargetMode="External"/><Relationship Id="rId1" Type="http://schemas.openxmlformats.org/officeDocument/2006/relationships/hyperlink" Target="https://lcsc.com/product-detail/Multilayer-Ceramic-Capacitors-MLCC-SMD-SMT_YAGEO-CC0603ZRY5V9BB104_C106221.html" TargetMode="External"/><Relationship Id="rId6" Type="http://schemas.openxmlformats.org/officeDocument/2006/relationships/hyperlink" Target="https://lcsc.com/product-detail/Multilayer-Ceramic-Capacitors-MLCC-SMD-SMT_YAGEO-CC0603KRX7R9BB471_C107092.html" TargetMode="External"/><Relationship Id="rId11" Type="http://schemas.openxmlformats.org/officeDocument/2006/relationships/hyperlink" Target="https://www.lcsc.com/product-detail/Screw-terminal_Ningbo-Kangnex-Elec-WJ500V-5-08-2P_C8465.html" TargetMode="External"/><Relationship Id="rId24" Type="http://schemas.openxmlformats.org/officeDocument/2006/relationships/hyperlink" Target="https://www.lcsc.com/product-detail/USB-Connectors_Amphenol-ICC-10118192-0001LF_C132564.html" TargetMode="External"/><Relationship Id="rId5" Type="http://schemas.openxmlformats.org/officeDocument/2006/relationships/hyperlink" Target="https://lcsc.com/product-detail/Multilayer-Ceramic-Capacitors-MLCC-SMD-SMT_Murata-Electronics-GRM188R61E475KE11D_C90057.html" TargetMode="External"/><Relationship Id="rId15" Type="http://schemas.openxmlformats.org/officeDocument/2006/relationships/hyperlink" Target="https://www.lcsc.com/product-detail/Chip-Resistor-Surface-Mount_YAGEO-RC0603FR-0720KL_C105575.html" TargetMode="External"/><Relationship Id="rId23" Type="http://schemas.openxmlformats.org/officeDocument/2006/relationships/hyperlink" Target="https://www.lcsc.com/product-detail/DC-DC-Converters_Texas-Instruments-MC34063ADR_C100023.html" TargetMode="External"/><Relationship Id="rId10" Type="http://schemas.openxmlformats.org/officeDocument/2006/relationships/hyperlink" Target="https://www.lcsc.com/product-detail/Schottky-Barrier-Diodes-SBD_Guangdong-Hottech-SS24A_C2886579.html" TargetMode="External"/><Relationship Id="rId19" Type="http://schemas.openxmlformats.org/officeDocument/2006/relationships/hyperlink" Target="https://www.lcsc.com/product-detail/Chip-Resistor-Surface-Mount_Viking-Tech-AR05BTB3751A010_C374641.html" TargetMode="External"/><Relationship Id="rId4" Type="http://schemas.openxmlformats.org/officeDocument/2006/relationships/hyperlink" Target="https://lcsc.com/product-detail/Multilayer-Ceramic-Capacitors-MLCC-SMD-SMT_YAGEO-CC0603KRX7R9BB103_C100042.html" TargetMode="External"/><Relationship Id="rId9" Type="http://schemas.openxmlformats.org/officeDocument/2006/relationships/hyperlink" Target="https://lcsc.com/product-detail/Switching-Diode_Diodes-Incorporated-1N4148WS-7-F_C60580.html" TargetMode="External"/><Relationship Id="rId14" Type="http://schemas.openxmlformats.org/officeDocument/2006/relationships/hyperlink" Target="https://www.lcsc.com/product-detail/Chip-Resistor-Surface-Mount_YAGEO-RC1206JR-073R6L_C246070.html" TargetMode="External"/><Relationship Id="rId22" Type="http://schemas.openxmlformats.org/officeDocument/2006/relationships/hyperlink" Target="https://www.lcsc.com/product-detail/Linear-Voltage-Regulators-LDO_STMicroelectronics-LDL1117S33R_C435835.html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42"/>
  <sheetViews>
    <sheetView tabSelected="1" topLeftCell="D19" workbookViewId="0">
      <selection activeCell="D24" sqref="D24"/>
    </sheetView>
  </sheetViews>
  <sheetFormatPr defaultRowHeight="15" x14ac:dyDescent="0.25"/>
  <cols>
    <col min="2" max="2" width="3.140625" style="25" customWidth="1"/>
    <col min="3" max="3" width="18" style="25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33.42578125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9.42578125" customWidth="1"/>
    <col min="15" max="15" width="19.7109375" bestFit="1" customWidth="1"/>
    <col min="16" max="16" width="25.85546875" bestFit="1" customWidth="1"/>
    <col min="17" max="17" width="26.42578125" bestFit="1" customWidth="1"/>
    <col min="18" max="18" width="19.7109375" bestFit="1" customWidth="1"/>
    <col min="19" max="19" width="26.85546875" bestFit="1" customWidth="1"/>
    <col min="20" max="20" width="19.7109375" bestFit="1" customWidth="1"/>
    <col min="21" max="21" width="20.7109375" bestFit="1" customWidth="1"/>
    <col min="22" max="22" width="27.140625" bestFit="1" customWidth="1"/>
  </cols>
  <sheetData>
    <row r="1" spans="1:2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  <c r="S1" s="60"/>
    </row>
    <row r="2" spans="1:23" ht="32.25" thickBot="1" x14ac:dyDescent="0.3">
      <c r="A2" s="1"/>
      <c r="B2" s="20"/>
      <c r="C2" s="38"/>
      <c r="D2" s="10" t="s">
        <v>0</v>
      </c>
      <c r="E2" s="10"/>
      <c r="F2" s="72" t="s">
        <v>162</v>
      </c>
      <c r="G2" s="11"/>
      <c r="H2" s="3"/>
      <c r="I2" s="11"/>
      <c r="J2" s="3"/>
      <c r="K2" s="3"/>
      <c r="L2" s="3"/>
      <c r="M2" s="3"/>
      <c r="N2" s="3"/>
      <c r="O2" s="3"/>
      <c r="P2" s="3"/>
      <c r="Q2" s="3"/>
      <c r="R2" s="3"/>
      <c r="S2" s="71"/>
      <c r="T2" s="71"/>
      <c r="U2" s="71"/>
      <c r="V2" s="71"/>
      <c r="W2" s="66"/>
    </row>
    <row r="3" spans="1:23" x14ac:dyDescent="0.25">
      <c r="A3" s="1"/>
      <c r="B3" s="21"/>
      <c r="C3" s="39"/>
      <c r="D3" s="12" t="s">
        <v>1</v>
      </c>
      <c r="E3" s="12"/>
      <c r="F3" s="56" t="s">
        <v>6</v>
      </c>
      <c r="G3" s="12"/>
      <c r="H3" s="4"/>
      <c r="I3" s="12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W3" s="61"/>
    </row>
    <row r="4" spans="1:23" x14ac:dyDescent="0.25">
      <c r="A4" s="1"/>
      <c r="B4" s="21"/>
      <c r="C4" s="39"/>
      <c r="D4" s="12" t="s">
        <v>2</v>
      </c>
      <c r="E4" s="12"/>
      <c r="F4" s="57" t="s">
        <v>6</v>
      </c>
      <c r="G4" s="13"/>
      <c r="H4" s="6"/>
      <c r="I4" s="13"/>
      <c r="J4" s="6"/>
      <c r="K4" s="6"/>
      <c r="L4" s="5"/>
      <c r="M4" s="5"/>
      <c r="N4" s="5"/>
      <c r="O4" s="5"/>
      <c r="P4" s="5"/>
      <c r="Q4" s="5"/>
      <c r="R4" s="69"/>
      <c r="S4" s="69"/>
      <c r="T4" s="69"/>
      <c r="U4" s="69"/>
      <c r="W4" s="61"/>
    </row>
    <row r="5" spans="1:23" x14ac:dyDescent="0.25">
      <c r="A5" s="1"/>
      <c r="B5" s="21"/>
      <c r="C5" s="39"/>
      <c r="D5" s="12" t="s">
        <v>3</v>
      </c>
      <c r="E5" s="12"/>
      <c r="F5" s="58" t="s">
        <v>7</v>
      </c>
      <c r="G5" s="14"/>
      <c r="H5" s="5"/>
      <c r="I5" s="14"/>
      <c r="J5" s="5"/>
      <c r="K5" s="5"/>
      <c r="L5" s="5"/>
      <c r="M5" s="5"/>
      <c r="N5" s="5"/>
      <c r="O5" s="5"/>
      <c r="P5" s="5"/>
      <c r="Q5" s="6"/>
      <c r="R5" s="70"/>
      <c r="S5" s="70"/>
      <c r="T5" s="70"/>
      <c r="U5" s="70"/>
      <c r="W5" s="61"/>
    </row>
    <row r="6" spans="1:23" x14ac:dyDescent="0.25">
      <c r="A6" s="1"/>
      <c r="B6" s="22"/>
      <c r="C6" s="40"/>
      <c r="D6" s="15"/>
      <c r="E6" s="15"/>
      <c r="F6" s="16"/>
      <c r="G6" s="14"/>
      <c r="H6" s="5"/>
      <c r="I6" s="14"/>
      <c r="J6" s="5"/>
      <c r="K6" s="5"/>
      <c r="L6" s="5"/>
      <c r="M6" s="5"/>
      <c r="N6" s="5"/>
      <c r="O6" s="5"/>
      <c r="P6" s="5"/>
      <c r="Q6" s="6"/>
      <c r="R6" s="70"/>
      <c r="S6" s="70"/>
      <c r="T6" s="70"/>
      <c r="U6" s="70"/>
      <c r="W6" s="61"/>
    </row>
    <row r="7" spans="1:23" x14ac:dyDescent="0.25">
      <c r="A7" s="1"/>
      <c r="B7" s="23"/>
      <c r="C7" s="41"/>
      <c r="D7" s="17"/>
      <c r="E7" s="17"/>
      <c r="F7" s="18"/>
      <c r="G7" s="17"/>
      <c r="H7" s="7"/>
      <c r="I7" s="17"/>
      <c r="J7" s="7"/>
      <c r="K7" s="7"/>
      <c r="L7" s="7"/>
      <c r="M7" s="7"/>
      <c r="N7" s="7"/>
      <c r="O7" s="7"/>
      <c r="P7" s="7"/>
      <c r="Q7" s="7"/>
      <c r="R7" s="67"/>
      <c r="S7" s="67"/>
      <c r="T7" s="67"/>
      <c r="U7" s="67"/>
      <c r="W7" s="61"/>
    </row>
    <row r="8" spans="1:23" ht="15.75" thickBot="1" x14ac:dyDescent="0.3">
      <c r="A8" s="1"/>
      <c r="B8" s="26"/>
      <c r="C8" s="42"/>
      <c r="D8" s="27"/>
      <c r="E8" s="27"/>
      <c r="F8" s="28"/>
      <c r="G8" s="17"/>
      <c r="H8" s="7"/>
      <c r="I8" s="17"/>
      <c r="J8" s="7"/>
      <c r="K8" s="7"/>
      <c r="L8" s="7"/>
      <c r="M8" s="7"/>
      <c r="N8" s="7"/>
      <c r="O8" s="7"/>
      <c r="P8" s="7"/>
      <c r="Q8" s="7"/>
      <c r="R8" s="68"/>
      <c r="S8" s="68"/>
      <c r="T8" s="68"/>
      <c r="U8" s="68"/>
      <c r="W8" s="61"/>
    </row>
    <row r="9" spans="1:23" ht="15.75" thickBot="1" x14ac:dyDescent="0.3">
      <c r="A9" s="1"/>
      <c r="B9" s="29" t="s">
        <v>4</v>
      </c>
      <c r="C9" s="29" t="s">
        <v>163</v>
      </c>
      <c r="D9" s="29" t="s">
        <v>8</v>
      </c>
      <c r="E9" s="30" t="s">
        <v>40</v>
      </c>
      <c r="F9" s="29" t="s">
        <v>72</v>
      </c>
      <c r="G9" s="30" t="s">
        <v>88</v>
      </c>
      <c r="H9" s="29" t="s">
        <v>116</v>
      </c>
      <c r="I9" s="29" t="s">
        <v>164</v>
      </c>
      <c r="J9" s="29" t="s">
        <v>165</v>
      </c>
      <c r="K9" s="29" t="s">
        <v>140</v>
      </c>
      <c r="L9" s="30" t="s">
        <v>161</v>
      </c>
      <c r="M9" s="29" t="s">
        <v>179</v>
      </c>
      <c r="N9" s="29" t="s">
        <v>180</v>
      </c>
      <c r="O9" s="29" t="s">
        <v>181</v>
      </c>
      <c r="P9" s="29" t="s">
        <v>182</v>
      </c>
      <c r="Q9" s="29" t="s">
        <v>166</v>
      </c>
      <c r="R9" s="29" t="s">
        <v>183</v>
      </c>
      <c r="S9" s="29" t="s">
        <v>184</v>
      </c>
      <c r="T9" s="29" t="s">
        <v>185</v>
      </c>
      <c r="U9" s="29" t="s">
        <v>186</v>
      </c>
      <c r="V9" s="31" t="s">
        <v>167</v>
      </c>
      <c r="W9" s="31" t="s">
        <v>5</v>
      </c>
    </row>
    <row r="10" spans="1:23" ht="16.5" thickBot="1" x14ac:dyDescent="0.3">
      <c r="A10" s="1"/>
      <c r="B10" s="37">
        <f>ROW(B10) - ROW($B$9)</f>
        <v>1</v>
      </c>
      <c r="C10" s="45" t="s">
        <v>169</v>
      </c>
      <c r="D10" s="45" t="s">
        <v>9</v>
      </c>
      <c r="E10" s="46" t="s">
        <v>41</v>
      </c>
      <c r="F10" s="45" t="s">
        <v>73</v>
      </c>
      <c r="G10" s="46" t="s">
        <v>89</v>
      </c>
      <c r="H10" s="45" t="s">
        <v>117</v>
      </c>
      <c r="I10" s="45"/>
      <c r="J10" s="45"/>
      <c r="K10" s="45" t="s">
        <v>141</v>
      </c>
      <c r="L10" s="46">
        <v>6</v>
      </c>
      <c r="M10" s="45">
        <f>L10*10</f>
        <v>60</v>
      </c>
      <c r="N10" s="45">
        <v>100</v>
      </c>
      <c r="O10" s="45">
        <f>L10*25</f>
        <v>150</v>
      </c>
      <c r="P10" s="45">
        <v>200</v>
      </c>
      <c r="Q10" s="73" t="s">
        <v>187</v>
      </c>
      <c r="R10" s="74">
        <v>2.8999999999999998E-3</v>
      </c>
      <c r="S10" s="54"/>
      <c r="T10" s="74">
        <v>2.8999999999999998E-3</v>
      </c>
      <c r="U10" s="54"/>
      <c r="V10" s="47"/>
      <c r="W10" s="48"/>
    </row>
    <row r="11" spans="1:23" ht="16.5" thickBot="1" x14ac:dyDescent="0.3">
      <c r="A11" s="1"/>
      <c r="B11" s="37">
        <f t="shared" ref="B11:B39" si="0">ROW(B11) - ROW($B$9)</f>
        <v>2</v>
      </c>
      <c r="C11" s="49" t="s">
        <v>169</v>
      </c>
      <c r="D11" s="49" t="s">
        <v>10</v>
      </c>
      <c r="E11" s="50" t="s">
        <v>42</v>
      </c>
      <c r="F11" s="49" t="s">
        <v>73</v>
      </c>
      <c r="G11" s="50" t="s">
        <v>90</v>
      </c>
      <c r="H11" s="49" t="s">
        <v>117</v>
      </c>
      <c r="I11" s="49"/>
      <c r="J11" s="49"/>
      <c r="K11" s="49" t="s">
        <v>142</v>
      </c>
      <c r="L11" s="50">
        <v>2</v>
      </c>
      <c r="M11" s="45">
        <f>L11*10</f>
        <v>20</v>
      </c>
      <c r="N11" s="49">
        <v>100</v>
      </c>
      <c r="O11" s="45">
        <f t="shared" ref="O11:O40" si="1">L11*25</f>
        <v>50</v>
      </c>
      <c r="P11" s="49">
        <v>100</v>
      </c>
      <c r="Q11" s="75" t="s">
        <v>187</v>
      </c>
      <c r="R11" s="74">
        <v>2.8999999999999998E-3</v>
      </c>
      <c r="S11" s="55"/>
      <c r="T11" s="74">
        <v>2.8999999999999998E-3</v>
      </c>
      <c r="U11" s="55"/>
      <c r="V11" s="51"/>
      <c r="W11" s="52"/>
    </row>
    <row r="12" spans="1:23" ht="15.75" thickBot="1" x14ac:dyDescent="0.3">
      <c r="A12" s="1"/>
      <c r="B12" s="37">
        <f>ROW(B12) - ROW($B$9)</f>
        <v>3</v>
      </c>
      <c r="C12" s="45" t="s">
        <v>169</v>
      </c>
      <c r="D12" s="45" t="s">
        <v>11</v>
      </c>
      <c r="E12" s="46" t="s">
        <v>43</v>
      </c>
      <c r="F12" s="45" t="s">
        <v>73</v>
      </c>
      <c r="G12" s="46" t="s">
        <v>91</v>
      </c>
      <c r="H12" s="45" t="s">
        <v>118</v>
      </c>
      <c r="I12" s="45"/>
      <c r="J12" s="45"/>
      <c r="K12" s="45" t="s">
        <v>143</v>
      </c>
      <c r="L12" s="46">
        <v>2</v>
      </c>
      <c r="M12" s="45">
        <f t="shared" ref="M11:M40" si="2">L12*10</f>
        <v>20</v>
      </c>
      <c r="N12" s="45">
        <v>40</v>
      </c>
      <c r="O12" s="45">
        <f t="shared" si="1"/>
        <v>50</v>
      </c>
      <c r="P12" s="45">
        <v>60</v>
      </c>
      <c r="Q12" s="73" t="s">
        <v>187</v>
      </c>
      <c r="R12" s="76">
        <v>3.95E-2</v>
      </c>
      <c r="S12" s="54"/>
      <c r="T12" s="76">
        <v>3.95E-2</v>
      </c>
      <c r="U12" s="54"/>
      <c r="V12" s="47"/>
      <c r="W12" s="52"/>
    </row>
    <row r="13" spans="1:23" ht="16.5" thickBot="1" x14ac:dyDescent="0.3">
      <c r="A13" s="1"/>
      <c r="B13" s="37">
        <f t="shared" si="0"/>
        <v>4</v>
      </c>
      <c r="C13" s="49" t="s">
        <v>169</v>
      </c>
      <c r="D13" s="49" t="s">
        <v>12</v>
      </c>
      <c r="E13" s="50" t="s">
        <v>44</v>
      </c>
      <c r="F13" s="49" t="s">
        <v>74</v>
      </c>
      <c r="G13" s="50" t="s">
        <v>92</v>
      </c>
      <c r="H13" s="49" t="s">
        <v>117</v>
      </c>
      <c r="I13" s="49"/>
      <c r="J13" s="49"/>
      <c r="K13" s="49" t="s">
        <v>144</v>
      </c>
      <c r="L13" s="50">
        <v>1</v>
      </c>
      <c r="M13" s="45">
        <f t="shared" si="2"/>
        <v>10</v>
      </c>
      <c r="N13" s="49">
        <v>100</v>
      </c>
      <c r="O13" s="45">
        <f t="shared" si="1"/>
        <v>25</v>
      </c>
      <c r="P13" s="49">
        <v>100</v>
      </c>
      <c r="Q13" s="75" t="s">
        <v>187</v>
      </c>
      <c r="R13" s="74">
        <v>2.2000000000000001E-3</v>
      </c>
      <c r="S13" s="55"/>
      <c r="T13" s="74">
        <v>2.2000000000000001E-3</v>
      </c>
      <c r="U13" s="55"/>
      <c r="V13" s="51"/>
      <c r="W13" s="52"/>
    </row>
    <row r="14" spans="1:23" ht="16.5" thickBot="1" x14ac:dyDescent="0.3">
      <c r="A14" s="1"/>
      <c r="B14" s="37">
        <f>ROW(B14) - ROW($B$9)</f>
        <v>5</v>
      </c>
      <c r="C14" s="45" t="s">
        <v>169</v>
      </c>
      <c r="D14" s="45" t="s">
        <v>13</v>
      </c>
      <c r="E14" s="46" t="s">
        <v>45</v>
      </c>
      <c r="F14" s="45" t="s">
        <v>73</v>
      </c>
      <c r="G14" s="46" t="s">
        <v>93</v>
      </c>
      <c r="H14" s="45" t="s">
        <v>119</v>
      </c>
      <c r="I14" s="45"/>
      <c r="J14" s="45"/>
      <c r="K14" s="45" t="s">
        <v>145</v>
      </c>
      <c r="L14" s="46">
        <v>2</v>
      </c>
      <c r="M14" s="45">
        <f t="shared" si="2"/>
        <v>20</v>
      </c>
      <c r="N14" s="45">
        <v>30</v>
      </c>
      <c r="O14" s="45">
        <f t="shared" si="1"/>
        <v>50</v>
      </c>
      <c r="P14" s="45">
        <v>60</v>
      </c>
      <c r="Q14" s="73" t="s">
        <v>187</v>
      </c>
      <c r="R14" s="74">
        <v>6.7699999999999996E-2</v>
      </c>
      <c r="S14" s="54"/>
      <c r="T14" s="74">
        <v>6.7699999999999996E-2</v>
      </c>
      <c r="U14" s="54"/>
      <c r="V14" s="47"/>
      <c r="W14" s="52"/>
    </row>
    <row r="15" spans="1:23" ht="16.5" thickBot="1" x14ac:dyDescent="0.3">
      <c r="A15" s="1"/>
      <c r="B15" s="37">
        <f t="shared" si="0"/>
        <v>6</v>
      </c>
      <c r="C15" s="49" t="s">
        <v>169</v>
      </c>
      <c r="D15" s="49" t="s">
        <v>14</v>
      </c>
      <c r="E15" s="50" t="s">
        <v>46</v>
      </c>
      <c r="F15" s="49" t="s">
        <v>73</v>
      </c>
      <c r="G15" s="50" t="s">
        <v>94</v>
      </c>
      <c r="H15" s="49" t="s">
        <v>117</v>
      </c>
      <c r="I15" s="49"/>
      <c r="J15" s="49"/>
      <c r="K15" s="49" t="s">
        <v>146</v>
      </c>
      <c r="L15" s="50">
        <v>1</v>
      </c>
      <c r="M15" s="45">
        <f t="shared" si="2"/>
        <v>10</v>
      </c>
      <c r="N15" s="49">
        <v>100</v>
      </c>
      <c r="O15" s="45">
        <f t="shared" si="1"/>
        <v>25</v>
      </c>
      <c r="P15" s="49">
        <v>100</v>
      </c>
      <c r="Q15" s="75" t="s">
        <v>187</v>
      </c>
      <c r="R15" s="74">
        <v>2.5999999999999999E-3</v>
      </c>
      <c r="S15" s="55"/>
      <c r="T15" s="74">
        <v>2.5999999999999999E-3</v>
      </c>
      <c r="U15" s="55"/>
      <c r="V15" s="51"/>
      <c r="W15" s="52"/>
    </row>
    <row r="16" spans="1:23" ht="15.75" thickBot="1" x14ac:dyDescent="0.3">
      <c r="A16" s="1"/>
      <c r="B16" s="37">
        <f>ROW(B16) - ROW($B$9)</f>
        <v>7</v>
      </c>
      <c r="C16" s="45" t="s">
        <v>169</v>
      </c>
      <c r="D16" s="45" t="s">
        <v>15</v>
      </c>
      <c r="E16" s="46" t="s">
        <v>47</v>
      </c>
      <c r="F16" s="45" t="s">
        <v>75</v>
      </c>
      <c r="G16" s="46" t="s">
        <v>95</v>
      </c>
      <c r="H16" s="45" t="s">
        <v>120</v>
      </c>
      <c r="I16" s="45"/>
      <c r="J16" s="45"/>
      <c r="K16" s="45" t="s">
        <v>147</v>
      </c>
      <c r="L16" s="46">
        <v>1</v>
      </c>
      <c r="M16" s="45">
        <f t="shared" si="2"/>
        <v>10</v>
      </c>
      <c r="N16" s="45">
        <v>15</v>
      </c>
      <c r="O16" s="45">
        <f t="shared" si="1"/>
        <v>25</v>
      </c>
      <c r="P16" s="45">
        <v>30</v>
      </c>
      <c r="Q16" s="73" t="s">
        <v>187</v>
      </c>
      <c r="R16" s="76">
        <v>0.8125</v>
      </c>
      <c r="S16" s="54"/>
      <c r="T16" s="76">
        <v>0.78839999999999999</v>
      </c>
      <c r="U16" s="54"/>
      <c r="V16" s="47"/>
      <c r="W16" s="52"/>
    </row>
    <row r="17" spans="1:23" ht="48.75" thickBot="1" x14ac:dyDescent="0.3">
      <c r="A17" s="1"/>
      <c r="B17" s="37">
        <f t="shared" si="0"/>
        <v>8</v>
      </c>
      <c r="C17" s="49" t="s">
        <v>169</v>
      </c>
      <c r="D17" s="49" t="s">
        <v>16</v>
      </c>
      <c r="E17" s="50" t="s">
        <v>48</v>
      </c>
      <c r="F17" s="49" t="s">
        <v>168</v>
      </c>
      <c r="G17" s="49" t="s">
        <v>76</v>
      </c>
      <c r="H17" s="49" t="s">
        <v>121</v>
      </c>
      <c r="I17" s="49"/>
      <c r="J17" s="49"/>
      <c r="K17" s="49" t="s">
        <v>148</v>
      </c>
      <c r="L17" s="50">
        <v>1</v>
      </c>
      <c r="M17" s="45">
        <f t="shared" si="2"/>
        <v>10</v>
      </c>
      <c r="N17" s="49">
        <v>15</v>
      </c>
      <c r="O17" s="45">
        <f t="shared" si="1"/>
        <v>25</v>
      </c>
      <c r="P17" s="49">
        <v>30</v>
      </c>
      <c r="Q17" s="75" t="s">
        <v>187</v>
      </c>
      <c r="R17" s="76">
        <v>0.37180000000000002</v>
      </c>
      <c r="S17" s="55"/>
      <c r="T17" s="76">
        <v>0.33910000000000001</v>
      </c>
      <c r="U17" s="55"/>
      <c r="V17" s="51"/>
      <c r="W17" s="52"/>
    </row>
    <row r="18" spans="1:23" ht="15.75" thickBot="1" x14ac:dyDescent="0.3">
      <c r="A18" s="1"/>
      <c r="B18" s="37">
        <f>ROW(B18) - ROW($B$9)</f>
        <v>9</v>
      </c>
      <c r="C18" s="45" t="s">
        <v>170</v>
      </c>
      <c r="D18" s="45" t="s">
        <v>17</v>
      </c>
      <c r="E18" s="46" t="s">
        <v>49</v>
      </c>
      <c r="F18" s="45" t="s">
        <v>77</v>
      </c>
      <c r="G18" s="46" t="s">
        <v>96</v>
      </c>
      <c r="H18" s="45" t="s">
        <v>122</v>
      </c>
      <c r="I18" s="45"/>
      <c r="J18" s="45"/>
      <c r="K18" s="45" t="s">
        <v>96</v>
      </c>
      <c r="L18" s="46">
        <v>2</v>
      </c>
      <c r="M18" s="45">
        <f t="shared" si="2"/>
        <v>20</v>
      </c>
      <c r="N18" s="45">
        <v>40</v>
      </c>
      <c r="O18" s="45">
        <f t="shared" si="1"/>
        <v>50</v>
      </c>
      <c r="P18" s="45">
        <v>60</v>
      </c>
      <c r="Q18" s="73" t="s">
        <v>187</v>
      </c>
      <c r="R18" s="76">
        <v>2.58E-2</v>
      </c>
      <c r="S18" s="54"/>
      <c r="T18" s="76">
        <v>2.58E-2</v>
      </c>
      <c r="U18" s="54"/>
      <c r="V18" s="47"/>
      <c r="W18" s="52"/>
    </row>
    <row r="19" spans="1:23" ht="24.75" thickBot="1" x14ac:dyDescent="0.3">
      <c r="A19" s="1"/>
      <c r="B19" s="37">
        <f t="shared" si="0"/>
        <v>10</v>
      </c>
      <c r="C19" s="49" t="s">
        <v>170</v>
      </c>
      <c r="D19" s="49" t="s">
        <v>18</v>
      </c>
      <c r="E19" s="50" t="s">
        <v>50</v>
      </c>
      <c r="F19" s="49" t="s">
        <v>78</v>
      </c>
      <c r="G19" s="50" t="s">
        <v>97</v>
      </c>
      <c r="H19" s="49" t="s">
        <v>123</v>
      </c>
      <c r="I19" s="49"/>
      <c r="J19" s="49"/>
      <c r="K19" s="49" t="s">
        <v>97</v>
      </c>
      <c r="L19" s="50">
        <v>1</v>
      </c>
      <c r="M19" s="45">
        <f t="shared" si="2"/>
        <v>10</v>
      </c>
      <c r="N19" s="49">
        <v>20</v>
      </c>
      <c r="O19" s="45">
        <f t="shared" si="1"/>
        <v>25</v>
      </c>
      <c r="P19" s="49">
        <v>40</v>
      </c>
      <c r="Q19" s="75" t="s">
        <v>187</v>
      </c>
      <c r="R19" s="76">
        <v>3.1300000000000001E-2</v>
      </c>
      <c r="S19" s="55"/>
      <c r="T19" s="76">
        <v>3.1300000000000001E-2</v>
      </c>
      <c r="U19" s="55"/>
      <c r="V19" s="51"/>
      <c r="W19" s="52"/>
    </row>
    <row r="20" spans="1:23" ht="15.75" thickBot="1" x14ac:dyDescent="0.3">
      <c r="A20" s="1"/>
      <c r="B20" s="37">
        <f>ROW(B20) - ROW($B$9)</f>
        <v>11</v>
      </c>
      <c r="C20" s="45" t="s">
        <v>171</v>
      </c>
      <c r="D20" s="45" t="s">
        <v>19</v>
      </c>
      <c r="E20" s="46" t="s">
        <v>51</v>
      </c>
      <c r="F20" s="45" t="s">
        <v>168</v>
      </c>
      <c r="G20" s="77" t="s">
        <v>98</v>
      </c>
      <c r="H20" s="78" t="s">
        <v>124</v>
      </c>
      <c r="I20" s="78"/>
      <c r="J20" s="78"/>
      <c r="K20" s="78" t="s">
        <v>98</v>
      </c>
      <c r="L20" s="77">
        <v>1</v>
      </c>
      <c r="M20" s="78">
        <f t="shared" si="2"/>
        <v>10</v>
      </c>
      <c r="N20" s="78">
        <v>13</v>
      </c>
      <c r="O20" s="78">
        <f t="shared" si="1"/>
        <v>25</v>
      </c>
      <c r="P20" s="78">
        <v>28</v>
      </c>
      <c r="Q20" s="86" t="s">
        <v>195</v>
      </c>
      <c r="R20" s="87">
        <v>1.0241</v>
      </c>
      <c r="S20" s="54"/>
      <c r="T20" s="87">
        <v>0.98099999999999998</v>
      </c>
      <c r="U20" s="54"/>
      <c r="V20" s="47"/>
      <c r="W20" s="52"/>
    </row>
    <row r="21" spans="1:23" ht="24.75" thickBot="1" x14ac:dyDescent="0.3">
      <c r="A21" s="1"/>
      <c r="B21" s="37">
        <f t="shared" si="0"/>
        <v>12</v>
      </c>
      <c r="C21" s="49" t="s">
        <v>171</v>
      </c>
      <c r="D21" s="49" t="s">
        <v>20</v>
      </c>
      <c r="E21" s="50" t="s">
        <v>52</v>
      </c>
      <c r="F21" s="49" t="s">
        <v>168</v>
      </c>
      <c r="G21" s="50" t="s">
        <v>99</v>
      </c>
      <c r="H21" s="49" t="s">
        <v>125</v>
      </c>
      <c r="I21" s="49"/>
      <c r="J21" s="49"/>
      <c r="K21" s="49" t="s">
        <v>99</v>
      </c>
      <c r="L21" s="50">
        <v>1</v>
      </c>
      <c r="M21" s="45">
        <f t="shared" si="2"/>
        <v>10</v>
      </c>
      <c r="N21" s="49">
        <v>15</v>
      </c>
      <c r="O21" s="45">
        <f t="shared" si="1"/>
        <v>25</v>
      </c>
      <c r="P21" s="49">
        <v>30</v>
      </c>
      <c r="Q21" s="75" t="s">
        <v>187</v>
      </c>
      <c r="R21" s="76">
        <v>0.1186</v>
      </c>
      <c r="S21" s="55"/>
      <c r="T21" s="76">
        <v>0.1186</v>
      </c>
      <c r="U21" s="55"/>
      <c r="V21" s="51"/>
      <c r="W21" s="52"/>
    </row>
    <row r="22" spans="1:23" ht="36.75" thickBot="1" x14ac:dyDescent="0.3">
      <c r="A22" s="1"/>
      <c r="B22" s="37">
        <f>ROW(B22) - ROW($B$9)</f>
        <v>13</v>
      </c>
      <c r="C22" s="45" t="s">
        <v>171</v>
      </c>
      <c r="D22" s="45" t="s">
        <v>21</v>
      </c>
      <c r="E22" s="46" t="s">
        <v>53</v>
      </c>
      <c r="F22" s="45" t="s">
        <v>168</v>
      </c>
      <c r="G22" s="77" t="s">
        <v>100</v>
      </c>
      <c r="H22" s="78" t="s">
        <v>126</v>
      </c>
      <c r="I22" s="78"/>
      <c r="J22" s="78"/>
      <c r="K22" s="78" t="s">
        <v>149</v>
      </c>
      <c r="L22" s="77">
        <v>1</v>
      </c>
      <c r="M22" s="78">
        <f t="shared" si="2"/>
        <v>10</v>
      </c>
      <c r="N22" s="78"/>
      <c r="O22" s="78">
        <f t="shared" si="1"/>
        <v>25</v>
      </c>
      <c r="P22" s="78"/>
      <c r="Q22" s="78"/>
      <c r="R22" s="79"/>
      <c r="S22" s="79"/>
      <c r="T22" s="79"/>
      <c r="U22" s="54"/>
      <c r="V22" s="47"/>
      <c r="W22" s="52"/>
    </row>
    <row r="23" spans="1:23" ht="36.75" thickBot="1" x14ac:dyDescent="0.3">
      <c r="A23" s="1"/>
      <c r="B23" s="37">
        <f t="shared" si="0"/>
        <v>14</v>
      </c>
      <c r="C23" s="49" t="s">
        <v>172</v>
      </c>
      <c r="D23" s="49" t="s">
        <v>22</v>
      </c>
      <c r="E23" s="50" t="s">
        <v>54</v>
      </c>
      <c r="F23" s="49" t="s">
        <v>168</v>
      </c>
      <c r="G23" s="50" t="s">
        <v>79</v>
      </c>
      <c r="H23" s="49" t="s">
        <v>127</v>
      </c>
      <c r="I23" s="49"/>
      <c r="J23" s="49"/>
      <c r="K23" s="49" t="s">
        <v>150</v>
      </c>
      <c r="L23" s="50">
        <v>1</v>
      </c>
      <c r="M23" s="45">
        <f t="shared" si="2"/>
        <v>10</v>
      </c>
      <c r="N23" s="49">
        <v>15</v>
      </c>
      <c r="O23" s="45">
        <f t="shared" si="1"/>
        <v>25</v>
      </c>
      <c r="P23" s="49">
        <v>30</v>
      </c>
      <c r="Q23" s="75" t="s">
        <v>187</v>
      </c>
      <c r="R23" s="74">
        <v>0.37009999999999998</v>
      </c>
      <c r="S23" s="55"/>
      <c r="T23" s="76">
        <v>0.33050000000000002</v>
      </c>
      <c r="U23" s="55"/>
      <c r="V23" s="51"/>
      <c r="W23" s="52"/>
    </row>
    <row r="24" spans="1:23" ht="15.75" thickBot="1" x14ac:dyDescent="0.3">
      <c r="A24" s="1"/>
      <c r="B24" s="37">
        <f>ROW(B24) - ROW($B$9)</f>
        <v>15</v>
      </c>
      <c r="C24" s="45" t="s">
        <v>173</v>
      </c>
      <c r="D24" s="45" t="s">
        <v>23</v>
      </c>
      <c r="E24" s="46" t="s">
        <v>55</v>
      </c>
      <c r="F24" s="45" t="s">
        <v>168</v>
      </c>
      <c r="G24" s="77">
        <v>61300311121</v>
      </c>
      <c r="H24" s="78" t="s">
        <v>128</v>
      </c>
      <c r="I24" s="78"/>
      <c r="J24" s="78"/>
      <c r="K24" s="78">
        <v>61300311121</v>
      </c>
      <c r="L24" s="77">
        <v>1</v>
      </c>
      <c r="M24" s="78">
        <f t="shared" si="2"/>
        <v>10</v>
      </c>
      <c r="N24" s="78"/>
      <c r="O24" s="78">
        <f t="shared" si="1"/>
        <v>25</v>
      </c>
      <c r="P24" s="78"/>
      <c r="Q24" s="78"/>
      <c r="R24" s="54"/>
      <c r="S24" s="54"/>
      <c r="T24" s="54"/>
      <c r="U24" s="54"/>
      <c r="V24" s="47"/>
      <c r="W24" s="52"/>
    </row>
    <row r="25" spans="1:23" ht="24.75" thickBot="1" x14ac:dyDescent="0.3">
      <c r="A25" s="1"/>
      <c r="B25" s="37">
        <f t="shared" si="0"/>
        <v>16</v>
      </c>
      <c r="C25" s="49" t="s">
        <v>174</v>
      </c>
      <c r="D25" s="49" t="s">
        <v>24</v>
      </c>
      <c r="E25" s="50" t="s">
        <v>56</v>
      </c>
      <c r="F25" s="49" t="s">
        <v>80</v>
      </c>
      <c r="G25" s="50" t="s">
        <v>101</v>
      </c>
      <c r="H25" s="49" t="s">
        <v>129</v>
      </c>
      <c r="I25" s="49"/>
      <c r="J25" s="49"/>
      <c r="K25" s="49" t="s">
        <v>101</v>
      </c>
      <c r="L25" s="50">
        <v>6</v>
      </c>
      <c r="M25" s="45">
        <f t="shared" si="2"/>
        <v>60</v>
      </c>
      <c r="N25" s="49"/>
      <c r="O25" s="45">
        <f t="shared" si="1"/>
        <v>150</v>
      </c>
      <c r="P25" s="49"/>
      <c r="Q25" s="49"/>
      <c r="R25" s="55"/>
      <c r="S25" s="55"/>
      <c r="T25" s="55"/>
      <c r="U25" s="55"/>
      <c r="V25" s="51" t="s">
        <v>188</v>
      </c>
      <c r="W25" s="52"/>
    </row>
    <row r="26" spans="1:23" ht="16.5" thickBot="1" x14ac:dyDescent="0.3">
      <c r="A26" s="1"/>
      <c r="B26" s="37">
        <f>ROW(B26) - ROW($B$9)</f>
        <v>17</v>
      </c>
      <c r="C26" s="45" t="s">
        <v>175</v>
      </c>
      <c r="D26" s="45" t="s">
        <v>25</v>
      </c>
      <c r="E26" s="46" t="s">
        <v>57</v>
      </c>
      <c r="F26" s="45" t="s">
        <v>81</v>
      </c>
      <c r="G26" s="84" t="s">
        <v>102</v>
      </c>
      <c r="H26" s="45" t="s">
        <v>130</v>
      </c>
      <c r="I26" s="74" t="s">
        <v>189</v>
      </c>
      <c r="J26" s="74" t="s">
        <v>190</v>
      </c>
      <c r="K26" s="45" t="s">
        <v>151</v>
      </c>
      <c r="L26" s="46">
        <v>2</v>
      </c>
      <c r="M26" s="45">
        <f t="shared" si="2"/>
        <v>20</v>
      </c>
      <c r="N26" s="45">
        <v>50</v>
      </c>
      <c r="O26" s="45">
        <f t="shared" si="1"/>
        <v>50</v>
      </c>
      <c r="P26" s="45">
        <v>100</v>
      </c>
      <c r="Q26" s="73" t="s">
        <v>187</v>
      </c>
      <c r="R26" s="76">
        <v>1.26E-2</v>
      </c>
      <c r="S26" s="54"/>
      <c r="T26" s="76">
        <v>1.26E-2</v>
      </c>
      <c r="U26" s="54"/>
      <c r="V26" s="80" t="s">
        <v>191</v>
      </c>
      <c r="W26" s="52"/>
    </row>
    <row r="27" spans="1:23" ht="16.5" thickBot="1" x14ac:dyDescent="0.3">
      <c r="A27" s="1"/>
      <c r="B27" s="37">
        <f t="shared" si="0"/>
        <v>18</v>
      </c>
      <c r="C27" s="49" t="s">
        <v>175</v>
      </c>
      <c r="D27" s="49" t="s">
        <v>26</v>
      </c>
      <c r="E27" s="50" t="s">
        <v>58</v>
      </c>
      <c r="F27" s="49" t="s">
        <v>82</v>
      </c>
      <c r="G27" s="85" t="s">
        <v>103</v>
      </c>
      <c r="H27" s="49" t="s">
        <v>131</v>
      </c>
      <c r="I27" s="83" t="s">
        <v>193</v>
      </c>
      <c r="J27" s="74" t="s">
        <v>194</v>
      </c>
      <c r="K27" s="49" t="s">
        <v>152</v>
      </c>
      <c r="L27" s="50">
        <v>1</v>
      </c>
      <c r="M27" s="45">
        <f t="shared" si="2"/>
        <v>10</v>
      </c>
      <c r="N27" s="49">
        <v>50</v>
      </c>
      <c r="O27" s="45">
        <f t="shared" si="1"/>
        <v>25</v>
      </c>
      <c r="P27" s="49">
        <v>50</v>
      </c>
      <c r="Q27" s="75" t="s">
        <v>187</v>
      </c>
      <c r="R27" s="81" t="s">
        <v>192</v>
      </c>
      <c r="S27" s="55"/>
      <c r="T27" s="81" t="s">
        <v>192</v>
      </c>
      <c r="U27" s="55"/>
      <c r="V27" s="51"/>
      <c r="W27" s="52"/>
    </row>
    <row r="28" spans="1:23" ht="24.75" thickBot="1" x14ac:dyDescent="0.3">
      <c r="A28" s="1"/>
      <c r="B28" s="37">
        <f>ROW(B28) - ROW($B$9)</f>
        <v>19</v>
      </c>
      <c r="C28" s="45" t="s">
        <v>175</v>
      </c>
      <c r="D28" s="45" t="s">
        <v>27</v>
      </c>
      <c r="E28" s="46" t="s">
        <v>59</v>
      </c>
      <c r="F28" s="45" t="s">
        <v>81</v>
      </c>
      <c r="G28" s="46" t="s">
        <v>104</v>
      </c>
      <c r="H28" s="45" t="s">
        <v>117</v>
      </c>
      <c r="I28" s="82"/>
      <c r="J28" s="45"/>
      <c r="K28" s="45" t="s">
        <v>153</v>
      </c>
      <c r="L28" s="46">
        <v>11</v>
      </c>
      <c r="M28" s="45">
        <f t="shared" si="2"/>
        <v>110</v>
      </c>
      <c r="N28" s="45">
        <v>100</v>
      </c>
      <c r="O28" s="45">
        <f t="shared" si="1"/>
        <v>275</v>
      </c>
      <c r="P28" s="45">
        <v>100</v>
      </c>
      <c r="Q28" s="73" t="s">
        <v>187</v>
      </c>
      <c r="R28" s="76">
        <v>1.4E-3</v>
      </c>
      <c r="S28" s="54"/>
      <c r="T28" s="76">
        <v>1.4E-3</v>
      </c>
      <c r="U28" s="54"/>
      <c r="V28" s="47"/>
      <c r="W28" s="52"/>
    </row>
    <row r="29" spans="1:23" ht="24.75" thickBot="1" x14ac:dyDescent="0.3">
      <c r="A29" s="1"/>
      <c r="B29" s="37">
        <f t="shared" si="0"/>
        <v>20</v>
      </c>
      <c r="C29" s="49" t="s">
        <v>175</v>
      </c>
      <c r="D29" s="49" t="s">
        <v>28</v>
      </c>
      <c r="E29" s="50" t="s">
        <v>60</v>
      </c>
      <c r="F29" s="49" t="s">
        <v>81</v>
      </c>
      <c r="G29" s="50" t="s">
        <v>105</v>
      </c>
      <c r="H29" s="49" t="s">
        <v>117</v>
      </c>
      <c r="I29" s="49"/>
      <c r="J29" s="49"/>
      <c r="K29" s="49" t="s">
        <v>154</v>
      </c>
      <c r="L29" s="50">
        <v>13</v>
      </c>
      <c r="M29" s="45">
        <f t="shared" si="2"/>
        <v>130</v>
      </c>
      <c r="N29" s="49">
        <v>200</v>
      </c>
      <c r="O29" s="45">
        <f t="shared" si="1"/>
        <v>325</v>
      </c>
      <c r="P29" s="49">
        <v>400</v>
      </c>
      <c r="Q29" s="75" t="s">
        <v>187</v>
      </c>
      <c r="R29" s="74">
        <v>1.1000000000000001E-3</v>
      </c>
      <c r="S29" s="55"/>
      <c r="T29" s="74">
        <v>1.1000000000000001E-3</v>
      </c>
      <c r="U29" s="55"/>
      <c r="V29" s="51"/>
      <c r="W29" s="52"/>
    </row>
    <row r="30" spans="1:23" ht="16.5" thickBot="1" x14ac:dyDescent="0.3">
      <c r="A30" s="1"/>
      <c r="B30" s="37">
        <f>ROW(B30) - ROW($B$9)</f>
        <v>21</v>
      </c>
      <c r="C30" s="45" t="s">
        <v>175</v>
      </c>
      <c r="D30" s="45" t="s">
        <v>29</v>
      </c>
      <c r="E30" s="46" t="s">
        <v>61</v>
      </c>
      <c r="F30" s="45" t="s">
        <v>81</v>
      </c>
      <c r="G30" s="46" t="s">
        <v>106</v>
      </c>
      <c r="H30" s="45" t="s">
        <v>117</v>
      </c>
      <c r="I30" s="45"/>
      <c r="J30" s="45"/>
      <c r="K30" s="45" t="s">
        <v>155</v>
      </c>
      <c r="L30" s="46">
        <v>1</v>
      </c>
      <c r="M30" s="45">
        <f t="shared" si="2"/>
        <v>10</v>
      </c>
      <c r="N30" s="45">
        <v>100</v>
      </c>
      <c r="O30" s="45">
        <f>L30*25</f>
        <v>25</v>
      </c>
      <c r="P30" s="45">
        <v>100</v>
      </c>
      <c r="Q30" s="73" t="s">
        <v>187</v>
      </c>
      <c r="R30" s="74">
        <v>1.2999999999999999E-3</v>
      </c>
      <c r="S30" s="54"/>
      <c r="T30" s="74">
        <v>1.2999999999999999E-3</v>
      </c>
      <c r="U30" s="54"/>
      <c r="V30" s="47"/>
      <c r="W30" s="52"/>
    </row>
    <row r="31" spans="1:23" ht="36.75" thickBot="1" x14ac:dyDescent="0.3">
      <c r="A31" s="1"/>
      <c r="B31" s="37">
        <f t="shared" si="0"/>
        <v>22</v>
      </c>
      <c r="C31" s="49" t="s">
        <v>175</v>
      </c>
      <c r="D31" s="49" t="s">
        <v>30</v>
      </c>
      <c r="E31" s="50" t="s">
        <v>62</v>
      </c>
      <c r="F31" s="49" t="s">
        <v>81</v>
      </c>
      <c r="G31" s="50" t="s">
        <v>107</v>
      </c>
      <c r="H31" s="49" t="s">
        <v>132</v>
      </c>
      <c r="I31" s="49"/>
      <c r="J31" s="49"/>
      <c r="K31" s="49" t="s">
        <v>156</v>
      </c>
      <c r="L31" s="50">
        <v>1</v>
      </c>
      <c r="M31" s="45">
        <f t="shared" si="2"/>
        <v>10</v>
      </c>
      <c r="N31" s="49">
        <v>50</v>
      </c>
      <c r="O31" s="45">
        <f t="shared" si="1"/>
        <v>25</v>
      </c>
      <c r="P31" s="49">
        <v>50</v>
      </c>
      <c r="Q31" s="75" t="s">
        <v>187</v>
      </c>
      <c r="R31" s="76">
        <v>4.1000000000000003E-3</v>
      </c>
      <c r="S31" s="55"/>
      <c r="T31" s="76">
        <v>4.1000000000000003E-3</v>
      </c>
      <c r="U31" s="55"/>
      <c r="V31" s="51"/>
      <c r="W31" s="52"/>
    </row>
    <row r="32" spans="1:23" ht="24.75" thickBot="1" x14ac:dyDescent="0.3">
      <c r="A32" s="1"/>
      <c r="B32" s="37">
        <f>ROW(B32) - ROW($B$9)</f>
        <v>23</v>
      </c>
      <c r="C32" s="45" t="s">
        <v>175</v>
      </c>
      <c r="D32" s="45" t="s">
        <v>31</v>
      </c>
      <c r="E32" s="46" t="s">
        <v>63</v>
      </c>
      <c r="F32" s="45" t="s">
        <v>83</v>
      </c>
      <c r="G32" s="46" t="s">
        <v>108</v>
      </c>
      <c r="H32" s="45" t="s">
        <v>133</v>
      </c>
      <c r="I32" s="45"/>
      <c r="J32" s="45"/>
      <c r="K32" s="45" t="s">
        <v>157</v>
      </c>
      <c r="L32" s="46">
        <v>1</v>
      </c>
      <c r="M32" s="45">
        <f t="shared" si="2"/>
        <v>10</v>
      </c>
      <c r="N32" s="45">
        <v>15</v>
      </c>
      <c r="O32" s="45">
        <f t="shared" si="1"/>
        <v>25</v>
      </c>
      <c r="P32" s="45">
        <v>30</v>
      </c>
      <c r="Q32" s="73" t="s">
        <v>187</v>
      </c>
      <c r="R32" s="74">
        <v>0.14979999999999999</v>
      </c>
      <c r="S32" s="54"/>
      <c r="T32" s="76">
        <v>0.1348</v>
      </c>
      <c r="U32" s="54"/>
      <c r="V32" s="47"/>
      <c r="W32" s="52"/>
    </row>
    <row r="33" spans="1:23" ht="36.75" thickBot="1" x14ac:dyDescent="0.3">
      <c r="A33" s="1"/>
      <c r="B33" s="37">
        <f t="shared" si="0"/>
        <v>24</v>
      </c>
      <c r="C33" s="49" t="s">
        <v>175</v>
      </c>
      <c r="D33" s="49" t="s">
        <v>32</v>
      </c>
      <c r="E33" s="50" t="s">
        <v>64</v>
      </c>
      <c r="F33" s="49" t="s">
        <v>81</v>
      </c>
      <c r="G33" s="50" t="s">
        <v>109</v>
      </c>
      <c r="H33" s="49" t="s">
        <v>134</v>
      </c>
      <c r="I33" s="49"/>
      <c r="J33" s="49"/>
      <c r="K33" s="49" t="s">
        <v>158</v>
      </c>
      <c r="L33" s="50">
        <v>1</v>
      </c>
      <c r="M33" s="45">
        <f t="shared" si="2"/>
        <v>10</v>
      </c>
      <c r="N33" s="49">
        <v>100</v>
      </c>
      <c r="O33" s="45">
        <f t="shared" si="1"/>
        <v>25</v>
      </c>
      <c r="P33" s="49">
        <v>100</v>
      </c>
      <c r="Q33" s="75" t="s">
        <v>187</v>
      </c>
      <c r="R33" s="76">
        <v>1E-3</v>
      </c>
      <c r="S33" s="55"/>
      <c r="T33" s="76">
        <v>1E-3</v>
      </c>
      <c r="U33" s="55"/>
      <c r="V33" s="51"/>
      <c r="W33" s="52"/>
    </row>
    <row r="34" spans="1:23" ht="15.75" thickBot="1" x14ac:dyDescent="0.3">
      <c r="A34" s="1"/>
      <c r="B34" s="37">
        <f>ROW(B34) - ROW($B$9)</f>
        <v>25</v>
      </c>
      <c r="C34" s="45" t="s">
        <v>175</v>
      </c>
      <c r="D34" s="45" t="s">
        <v>33</v>
      </c>
      <c r="E34" s="46" t="s">
        <v>65</v>
      </c>
      <c r="F34" s="45" t="s">
        <v>168</v>
      </c>
      <c r="G34" s="46"/>
      <c r="H34" s="45"/>
      <c r="I34" s="45"/>
      <c r="J34" s="45"/>
      <c r="K34" s="45" t="s">
        <v>84</v>
      </c>
      <c r="L34" s="46">
        <v>1</v>
      </c>
      <c r="M34" s="45">
        <f t="shared" si="2"/>
        <v>10</v>
      </c>
      <c r="N34" s="45"/>
      <c r="O34" s="45">
        <f t="shared" si="1"/>
        <v>25</v>
      </c>
      <c r="P34" s="45"/>
      <c r="Q34" s="45"/>
      <c r="R34" s="54"/>
      <c r="S34" s="54"/>
      <c r="T34" s="54"/>
      <c r="U34" s="54"/>
      <c r="V34" s="47"/>
      <c r="W34" s="52"/>
    </row>
    <row r="35" spans="1:23" ht="15.75" thickBot="1" x14ac:dyDescent="0.3">
      <c r="A35" s="1"/>
      <c r="B35" s="37">
        <f t="shared" si="0"/>
        <v>26</v>
      </c>
      <c r="C35" s="49" t="s">
        <v>178</v>
      </c>
      <c r="D35" s="49" t="s">
        <v>34</v>
      </c>
      <c r="E35" s="50" t="s">
        <v>66</v>
      </c>
      <c r="F35" s="49" t="s">
        <v>168</v>
      </c>
      <c r="G35" s="50" t="s">
        <v>110</v>
      </c>
      <c r="H35" s="49" t="s">
        <v>135</v>
      </c>
      <c r="I35" s="49"/>
      <c r="J35" s="49"/>
      <c r="K35" s="49" t="s">
        <v>159</v>
      </c>
      <c r="L35" s="50">
        <v>1</v>
      </c>
      <c r="M35" s="45">
        <f t="shared" si="2"/>
        <v>10</v>
      </c>
      <c r="N35" s="49"/>
      <c r="O35" s="45">
        <f t="shared" si="1"/>
        <v>25</v>
      </c>
      <c r="P35" s="49"/>
      <c r="Q35" s="49"/>
      <c r="R35" s="55"/>
      <c r="S35" s="55"/>
      <c r="T35" s="55"/>
      <c r="U35" s="55"/>
      <c r="V35" s="51"/>
      <c r="W35" s="52"/>
    </row>
    <row r="36" spans="1:23" ht="15.75" thickBot="1" x14ac:dyDescent="0.3">
      <c r="A36" s="1"/>
      <c r="B36" s="37">
        <f>ROW(B36) - ROW($B$9)</f>
        <v>27</v>
      </c>
      <c r="C36" s="45" t="s">
        <v>177</v>
      </c>
      <c r="D36" s="45" t="s">
        <v>35</v>
      </c>
      <c r="E36" s="46" t="s">
        <v>67</v>
      </c>
      <c r="F36" s="45" t="s">
        <v>85</v>
      </c>
      <c r="G36" s="46" t="s">
        <v>111</v>
      </c>
      <c r="H36" s="45" t="s">
        <v>136</v>
      </c>
      <c r="I36" s="45"/>
      <c r="J36" s="45"/>
      <c r="K36" s="45" t="s">
        <v>111</v>
      </c>
      <c r="L36" s="46">
        <v>1</v>
      </c>
      <c r="M36" s="45">
        <f t="shared" si="2"/>
        <v>10</v>
      </c>
      <c r="N36" s="45">
        <v>13</v>
      </c>
      <c r="O36" s="45">
        <f t="shared" si="1"/>
        <v>25</v>
      </c>
      <c r="P36" s="45">
        <v>28</v>
      </c>
      <c r="Q36" s="73" t="s">
        <v>187</v>
      </c>
      <c r="R36" s="76">
        <v>9.0368999999999993</v>
      </c>
      <c r="S36" s="54"/>
      <c r="T36" s="76">
        <v>9.0368999999999993</v>
      </c>
      <c r="U36" s="54"/>
      <c r="V36" s="47"/>
      <c r="W36" s="52"/>
    </row>
    <row r="37" spans="1:23" ht="15.75" thickBot="1" x14ac:dyDescent="0.3">
      <c r="A37" s="1"/>
      <c r="B37" s="37">
        <f t="shared" si="0"/>
        <v>28</v>
      </c>
      <c r="C37" s="49" t="s">
        <v>177</v>
      </c>
      <c r="D37" s="49" t="s">
        <v>36</v>
      </c>
      <c r="E37" s="50" t="s">
        <v>68</v>
      </c>
      <c r="F37" s="49" t="s">
        <v>86</v>
      </c>
      <c r="G37" s="50" t="s">
        <v>112</v>
      </c>
      <c r="H37" s="49" t="s">
        <v>136</v>
      </c>
      <c r="I37" s="49"/>
      <c r="J37" s="49"/>
      <c r="K37" s="49" t="s">
        <v>112</v>
      </c>
      <c r="L37" s="50">
        <v>1</v>
      </c>
      <c r="M37" s="45">
        <f t="shared" si="2"/>
        <v>10</v>
      </c>
      <c r="N37" s="49">
        <v>13</v>
      </c>
      <c r="O37" s="45">
        <f t="shared" si="1"/>
        <v>25</v>
      </c>
      <c r="P37" s="49">
        <v>28</v>
      </c>
      <c r="Q37" s="75" t="s">
        <v>187</v>
      </c>
      <c r="R37" s="76">
        <v>0.54910000000000003</v>
      </c>
      <c r="S37" s="55"/>
      <c r="T37" s="76">
        <v>0.54910000000000003</v>
      </c>
      <c r="U37" s="55"/>
      <c r="V37" s="51"/>
      <c r="W37" s="52"/>
    </row>
    <row r="38" spans="1:23" ht="15.75" thickBot="1" x14ac:dyDescent="0.3">
      <c r="A38" s="1"/>
      <c r="B38" s="37">
        <f>ROW(B38) - ROW($B$9)</f>
        <v>29</v>
      </c>
      <c r="C38" s="45" t="s">
        <v>177</v>
      </c>
      <c r="D38" s="45" t="s">
        <v>37</v>
      </c>
      <c r="E38" s="46" t="s">
        <v>69</v>
      </c>
      <c r="F38" s="45" t="s">
        <v>87</v>
      </c>
      <c r="G38" s="46" t="s">
        <v>113</v>
      </c>
      <c r="H38" s="45" t="s">
        <v>137</v>
      </c>
      <c r="I38" s="45"/>
      <c r="J38" s="45"/>
      <c r="K38" s="45" t="s">
        <v>113</v>
      </c>
      <c r="L38" s="46">
        <v>1</v>
      </c>
      <c r="M38" s="45">
        <f t="shared" si="2"/>
        <v>10</v>
      </c>
      <c r="N38" s="45">
        <v>13</v>
      </c>
      <c r="O38" s="45">
        <f t="shared" si="1"/>
        <v>25</v>
      </c>
      <c r="P38" s="45">
        <v>28</v>
      </c>
      <c r="Q38" s="73" t="s">
        <v>187</v>
      </c>
      <c r="R38" s="76">
        <v>0.32369999999999999</v>
      </c>
      <c r="S38" s="54"/>
      <c r="T38" s="76">
        <v>0.32369999999999999</v>
      </c>
      <c r="U38" s="54"/>
      <c r="V38" s="47"/>
      <c r="W38" s="52"/>
    </row>
    <row r="39" spans="1:23" ht="15.75" thickBot="1" x14ac:dyDescent="0.3">
      <c r="A39" s="1"/>
      <c r="B39" s="37">
        <f t="shared" si="0"/>
        <v>30</v>
      </c>
      <c r="C39" s="49" t="s">
        <v>173</v>
      </c>
      <c r="D39" s="49" t="s">
        <v>38</v>
      </c>
      <c r="E39" s="50" t="s">
        <v>70</v>
      </c>
      <c r="F39" s="49" t="s">
        <v>168</v>
      </c>
      <c r="G39" s="50" t="s">
        <v>114</v>
      </c>
      <c r="H39" s="49" t="s">
        <v>138</v>
      </c>
      <c r="I39" s="49"/>
      <c r="J39" s="49"/>
      <c r="K39" s="49" t="s">
        <v>114</v>
      </c>
      <c r="L39" s="50">
        <v>1</v>
      </c>
      <c r="M39" s="45">
        <f t="shared" si="2"/>
        <v>10</v>
      </c>
      <c r="N39" s="49">
        <v>13</v>
      </c>
      <c r="O39" s="45">
        <f t="shared" si="1"/>
        <v>25</v>
      </c>
      <c r="P39" s="49">
        <v>28</v>
      </c>
      <c r="Q39" s="75" t="s">
        <v>187</v>
      </c>
      <c r="R39" s="76">
        <v>0.2319</v>
      </c>
      <c r="S39" s="55"/>
      <c r="T39" s="76">
        <v>0.2319</v>
      </c>
      <c r="U39" s="55"/>
      <c r="V39" s="51"/>
      <c r="W39" s="52"/>
    </row>
    <row r="40" spans="1:23" ht="15.75" thickBot="1" x14ac:dyDescent="0.3">
      <c r="A40" s="1"/>
      <c r="B40" s="37">
        <f>ROW(B40) - ROW($B$9)</f>
        <v>31</v>
      </c>
      <c r="C40" s="45" t="s">
        <v>176</v>
      </c>
      <c r="D40" s="45" t="s">
        <v>39</v>
      </c>
      <c r="E40" s="46" t="s">
        <v>71</v>
      </c>
      <c r="F40" s="45" t="s">
        <v>168</v>
      </c>
      <c r="G40" s="46" t="s">
        <v>115</v>
      </c>
      <c r="H40" s="45" t="s">
        <v>139</v>
      </c>
      <c r="I40" s="45"/>
      <c r="J40" s="45"/>
      <c r="K40" s="45" t="s">
        <v>160</v>
      </c>
      <c r="L40" s="46">
        <v>1</v>
      </c>
      <c r="M40" s="45">
        <f t="shared" si="2"/>
        <v>10</v>
      </c>
      <c r="N40" s="45"/>
      <c r="O40" s="45">
        <f t="shared" si="1"/>
        <v>25</v>
      </c>
      <c r="P40" s="45"/>
      <c r="Q40" s="45"/>
      <c r="R40" s="54"/>
      <c r="S40" s="54"/>
      <c r="T40" s="54"/>
      <c r="U40" s="54"/>
      <c r="V40" s="47"/>
      <c r="W40" s="53"/>
    </row>
    <row r="41" spans="1:23" x14ac:dyDescent="0.25">
      <c r="A41" s="1"/>
      <c r="B41" s="32"/>
      <c r="C41" s="43"/>
      <c r="D41" s="33"/>
      <c r="E41" s="34"/>
      <c r="F41" s="35"/>
      <c r="G41" s="36"/>
      <c r="H41" s="35"/>
      <c r="I41" s="36"/>
      <c r="J41" s="35"/>
      <c r="K41" s="36"/>
      <c r="L41" s="36"/>
      <c r="M41" s="36"/>
      <c r="N41" s="36"/>
      <c r="O41" s="36"/>
      <c r="P41" s="36"/>
      <c r="Q41" s="36"/>
      <c r="R41" s="62"/>
      <c r="S41" s="63"/>
    </row>
    <row r="42" spans="1:23" ht="15.75" thickBot="1" x14ac:dyDescent="0.3">
      <c r="A42" s="1"/>
      <c r="B42" s="24"/>
      <c r="C42" s="44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64"/>
      <c r="S42" s="65"/>
    </row>
  </sheetData>
  <mergeCells count="4">
    <mergeCell ref="K1:S1"/>
    <mergeCell ref="W3:W8"/>
    <mergeCell ref="R41:S42"/>
    <mergeCell ref="S2:W2"/>
  </mergeCells>
  <hyperlinks>
    <hyperlink ref="Q10" r:id="rId1"/>
    <hyperlink ref="Q11" r:id="rId2"/>
    <hyperlink ref="Q12" r:id="rId3"/>
    <hyperlink ref="Q13" r:id="rId4"/>
    <hyperlink ref="Q14" r:id="rId5"/>
    <hyperlink ref="Q15" r:id="rId6"/>
    <hyperlink ref="Q16" r:id="rId7"/>
    <hyperlink ref="Q17" r:id="rId8"/>
    <hyperlink ref="Q18" r:id="rId9"/>
    <hyperlink ref="Q19" r:id="rId10"/>
    <hyperlink ref="Q21" r:id="rId11"/>
    <hyperlink ref="Q23" r:id="rId12"/>
    <hyperlink ref="Q26" r:id="rId13"/>
    <hyperlink ref="Q27" r:id="rId14"/>
    <hyperlink ref="Q28" r:id="rId15"/>
    <hyperlink ref="Q29" r:id="rId16"/>
    <hyperlink ref="Q30" r:id="rId17"/>
    <hyperlink ref="Q31" r:id="rId18"/>
    <hyperlink ref="Q32" r:id="rId19"/>
    <hyperlink ref="Q33" r:id="rId20"/>
    <hyperlink ref="Q36" r:id="rId21"/>
    <hyperlink ref="Q37" r:id="rId22"/>
    <hyperlink ref="Q38" r:id="rId23"/>
    <hyperlink ref="Q39" r:id="rId24"/>
    <hyperlink ref="Q20" r:id="rId25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DANISH TRADERS</cp:lastModifiedBy>
  <dcterms:created xsi:type="dcterms:W3CDTF">2019-12-12T10:34:26Z</dcterms:created>
  <dcterms:modified xsi:type="dcterms:W3CDTF">2022-10-27T14:08:19Z</dcterms:modified>
</cp:coreProperties>
</file>